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/MM/dd"/>
  </numFmts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4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4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cols>
    <col collapsed="1" width="10.53125" bestFit="1" customWidth="1" min="1" max="1"/>
    <col collapsed="1" width="10.1328125" bestFit="1" customWidth="1" min="2" max="2"/>
    <col collapsed="1" width="16" bestFit="1" customWidth="1" min="3" max="3"/>
    <col collapsed="1" width="10.53125" bestFit="1" customWidth="1" min="4" max="4"/>
    <col collapsed="1" width="60.53125" bestFit="1" customWidth="1" min="5" max="5"/>
    <col collapsed="1" width="11.33203125" bestFit="1" customWidth="1" min="6" max="6"/>
    <col collapsed="1" width="4.265625" bestFit="1" customWidth="1" min="7" max="7"/>
    <col collapsed="1" width="16.9296875" bestFit="1" customWidth="1" min="8" max="8"/>
    <col collapsed="1" width="16" bestFit="1" customWidth="1" min="9" max="9"/>
    <col collapsed="1" width="16" bestFit="1" customWidth="1" min="10" max="10"/>
    <col collapsed="1" width="18.796875" bestFit="1" customWidth="1" min="11" max="11"/>
    <col collapsed="1" width="93.19921875" bestFit="1" customWidth="1" min="12" max="12"/>
    <col collapsed="1" width="20.6640625" bestFit="1" customWidth="1" min="13" max="13"/>
    <col collapsed="1" width="10.53125" bestFit="1" customWidth="1" min="14" max="14"/>
    <col collapsed="1" width="6.1328125" bestFit="1" customWidth="1" min="15" max="15"/>
    <col collapsed="1" width="8.265625" bestFit="1" customWidth="1" min="16" max="16"/>
    <col collapsed="1" width="6.1328125" bestFit="1" customWidth="1" min="17" max="17"/>
    <col collapsed="1" width="20.6640625" bestFit="1" customWidth="1" min="18" max="18"/>
    <col collapsed="1" width="20.6640625" bestFit="1" customWidth="1" min="19" max="19"/>
    <col collapsed="1" width="10.53125" bestFit="1" customWidth="1" min="20" max="20"/>
    <col collapsed="1" width="44" bestFit="1" customWidth="1" min="21" max="21"/>
    <col collapsed="1" width="14" bestFit="1" customWidth="1" min="22" max="22"/>
    <col collapsed="1" width="11.73046875" bestFit="1" customWidth="1" min="23" max="23"/>
    <col collapsed="1" width="16.9296875" bestFit="1" customWidth="1" min="24" max="24"/>
    <col collapsed="1" width="14" bestFit="1" customWidth="1" min="25" max="25"/>
    <col collapsed="1" width="32.265625" bestFit="1" customWidth="1" min="26" max="26"/>
    <col collapsed="1" width="10.53125" bestFit="1" customWidth="1" min="27" max="27"/>
    <col collapsed="1" width="10.53125" bestFit="1" customWidth="1" min="28" max="28"/>
    <col collapsed="1" width="13.06640625" bestFit="1" customWidth="1" min="29" max="29"/>
    <col collapsed="1" width="14.265625" bestFit="1" customWidth="1" min="30" max="30"/>
  </cols>
  <sheetData>
    <row r="1">
      <c r="A1" t="inlineStr">
        <is>
          <t>訂單類型</t>
        </is>
      </c>
      <c r="B1" t="inlineStr">
        <is>
          <t>線別</t>
        </is>
      </c>
      <c r="C1" t="inlineStr">
        <is>
          <t>PO單號</t>
        </is>
      </c>
      <c r="D1" t="inlineStr">
        <is>
          <t>到貨倉別</t>
        </is>
      </c>
      <c r="E1" t="inlineStr">
        <is>
          <t>地址</t>
        </is>
      </c>
      <c r="F1" t="inlineStr">
        <is>
          <t>交付日期</t>
        </is>
      </c>
      <c r="G1" t="inlineStr">
        <is>
          <t>NO</t>
        </is>
      </c>
      <c r="H1" t="inlineStr">
        <is>
          <t>SKU ID</t>
        </is>
      </c>
      <c r="I1" t="inlineStr">
        <is>
          <t>條碼(國條)</t>
        </is>
      </c>
      <c r="J1" t="inlineStr">
        <is>
          <t>永豐料號</t>
        </is>
      </c>
      <c r="K1" t="inlineStr">
        <is>
          <t>品牌</t>
        </is>
      </c>
      <c r="L1" t="inlineStr">
        <is>
          <t>品名</t>
        </is>
      </c>
      <c r="M1" t="inlineStr">
        <is>
          <t>下單數量(酷澎單位)</t>
        </is>
      </c>
      <c r="N1" t="inlineStr">
        <is>
          <t>出貨數量</t>
        </is>
      </c>
      <c r="O1" t="inlineStr">
        <is>
          <t>單位</t>
        </is>
      </c>
      <c r="P1" t="inlineStr">
        <is>
          <t>箱入數</t>
        </is>
      </c>
      <c r="Q1" t="inlineStr">
        <is>
          <t>箱數</t>
        </is>
      </c>
      <c r="R1" t="inlineStr">
        <is>
          <t>酷澎下單單價(含稅)</t>
        </is>
      </c>
      <c r="S1" t="inlineStr">
        <is>
          <t>業務報價單價(含稅)</t>
        </is>
      </c>
      <c r="T1" t="inlineStr">
        <is>
          <t>核對單價</t>
        </is>
      </c>
      <c r="U1" t="inlineStr">
        <is>
          <t>報價備註</t>
        </is>
      </c>
      <c r="V1" t="inlineStr">
        <is>
          <t>箱單價(含稅)</t>
        </is>
      </c>
      <c r="W1" t="inlineStr">
        <is>
          <t>總計(含稅)</t>
        </is>
      </c>
      <c r="X1" t="inlineStr">
        <is>
          <t>總效期天數(day)</t>
        </is>
      </c>
      <c r="Y1" t="inlineStr">
        <is>
          <t>允收效期</t>
        </is>
      </c>
      <c r="Z1" t="inlineStr">
        <is>
          <t>備註</t>
        </is>
      </c>
      <c r="AA1" t="inlineStr">
        <is>
          <t>有效期限</t>
        </is>
      </c>
      <c r="AB1" t="inlineStr">
        <is>
          <t>製造日期</t>
        </is>
      </c>
      <c r="AC1" t="inlineStr">
        <is>
          <t>日期格式</t>
        </is>
      </c>
      <c r="AD1" t="inlineStr">
        <is>
          <t>瑪氏效期表Id</t>
        </is>
      </c>
    </row>
    <row r="2">
      <c r="A2" t="inlineStr">
        <is>
          <t>一般</t>
        </is>
      </c>
      <c r="B2" t="inlineStr">
        <is>
          <t>瑪氏</t>
        </is>
      </c>
      <c r="C2" t="inlineStr">
        <is>
          <t>13000000448801</t>
        </is>
      </c>
      <c r="D2" t="inlineStr">
        <is>
          <t>TAO1</t>
        </is>
      </c>
      <c r="E2" t="inlineStr">
        <is>
          <t>桃園市大園區建國路102號4樓 B棟(倉儲棟)</t>
        </is>
      </c>
      <c r="F2" s="3" t="n">
        <v>46256</v>
      </c>
      <c r="G2" t="n">
        <v>1</v>
      </c>
      <c r="H2" t="inlineStr">
        <is>
          <t>122903911677954</t>
        </is>
      </c>
      <c r="I2" t="inlineStr">
        <is>
          <t>4902397846413</t>
        </is>
      </c>
      <c r="J2" t="inlineStr">
        <is>
          <t>M10281282</t>
        </is>
      </c>
      <c r="K2" t="inlineStr">
        <is>
          <t>Cesar 西莎</t>
        </is>
      </c>
      <c r="L2" t="inlineStr">
        <is>
          <t>Cesar 西莎 點心系列 狗零食, 低脂雞胸培根切片口味, 80g, 1包</t>
        </is>
      </c>
      <c r="M2" t="n">
        <v>200</v>
      </c>
      <c r="N2" t="n">
        <v>160</v>
      </c>
      <c r="O2" t="inlineStr">
        <is>
          <t>盒</t>
        </is>
      </c>
      <c r="P2" t="n">
        <v>36</v>
      </c>
      <c r="Q2">
        <f>N2/P2</f>
        <v/>
      </c>
      <c r="R2" s="1" t="n">
        <v>78</v>
      </c>
      <c r="S2" s="1" t="n">
        <v>78</v>
      </c>
      <c r="T2">
        <f>IF(R2=S2,"相符","不相符")</f>
        <v/>
      </c>
      <c r="U2" t="inlineStr">
        <is>
          <t>M10281282</t>
        </is>
      </c>
      <c r="V2">
        <f>P2*R2</f>
        <v/>
      </c>
      <c r="W2">
        <f>Q2*V2</f>
        <v/>
      </c>
      <c r="X2" t="n">
        <v>450</v>
      </c>
      <c r="Y2" t="inlineStr">
        <is>
          <t>(M)-
(E)2027-04-06</t>
        </is>
      </c>
      <c r="Z2" t="inlineStr">
        <is>
          <t>MPO_0812</t>
        </is>
      </c>
      <c r="AC2" t="inlineStr">
        <is>
          <t>YY/MM/DD</t>
        </is>
      </c>
    </row>
    <row r="3">
      <c r="A3" t="inlineStr">
        <is>
          <t>一般</t>
        </is>
      </c>
      <c r="B3" t="inlineStr">
        <is>
          <t>瑪氏</t>
        </is>
      </c>
      <c r="C3" t="inlineStr">
        <is>
          <t>13000000448801</t>
        </is>
      </c>
      <c r="D3" t="inlineStr">
        <is>
          <t>TAO1</t>
        </is>
      </c>
      <c r="E3" t="inlineStr">
        <is>
          <t>桃園市大園區建國路102號4樓 B棟(倉儲棟)</t>
        </is>
      </c>
      <c r="F3" s="3" t="n">
        <v>46259</v>
      </c>
      <c r="G3" t="n">
        <v>2</v>
      </c>
      <c r="H3" t="inlineStr">
        <is>
          <t>153706569875456</t>
        </is>
      </c>
      <c r="I3" t="inlineStr">
        <is>
          <t>19334214036363</t>
        </is>
      </c>
      <c r="J3" t="inlineStr">
        <is>
          <t>M60018009</t>
        </is>
      </c>
      <c r="K3" t="inlineStr">
        <is>
          <t>Sheba 希寶</t>
        </is>
      </c>
      <c r="L3" t="inlineStr">
        <is>
          <t>[箱裝]Sheba 希寶 金罐, 鮪魚 + 鮭魚, 85g, 24罐, 1箱</t>
        </is>
      </c>
      <c r="M3" t="n">
        <v>40</v>
      </c>
      <c r="N3" t="n">
        <v>40</v>
      </c>
      <c r="O3" t="inlineStr">
        <is>
          <t>箱</t>
        </is>
      </c>
      <c r="P3" t="n">
        <v>1</v>
      </c>
      <c r="Q3">
        <f>N3/P3</f>
        <v/>
      </c>
      <c r="R3" s="1" t="n">
        <v>635</v>
      </c>
      <c r="S3" s="1" t="n">
        <v>635</v>
      </c>
      <c r="T3">
        <f>IF(R3=S3,"相符","不相符")</f>
        <v/>
      </c>
      <c r="U3" t="inlineStr">
        <is>
          <t>M10201244-1</t>
        </is>
      </c>
      <c r="V3">
        <f>P3*R3</f>
        <v/>
      </c>
      <c r="W3">
        <f>Q3*V3</f>
        <v/>
      </c>
      <c r="X3" t="n">
        <v>730</v>
      </c>
      <c r="Y3" t="inlineStr">
        <is>
          <t>(M)-
(E)2027-08-21</t>
        </is>
      </c>
      <c r="Z3" t="inlineStr">
        <is>
          <t>MPO_0812</t>
        </is>
      </c>
      <c r="AC3" t="inlineStr">
        <is>
          <t>YY/MM/DD</t>
        </is>
      </c>
    </row>
    <row r="4">
      <c r="A4" t="inlineStr">
        <is>
          <t>一般</t>
        </is>
      </c>
      <c r="B4" t="inlineStr">
        <is>
          <t>瑪氏</t>
        </is>
      </c>
      <c r="C4" t="inlineStr">
        <is>
          <t>13000000448801</t>
        </is>
      </c>
      <c r="D4" t="inlineStr">
        <is>
          <t>TPE1</t>
        </is>
      </c>
      <c r="E4" t="inlineStr">
        <is>
          <t>桃園市大園區建國路102號4樓 B棟(倉儲棟)</t>
        </is>
      </c>
      <c r="F4" s="3" t="n">
        <v>46256</v>
      </c>
      <c r="G4" t="n">
        <v>3</v>
      </c>
      <c r="H4" t="inlineStr">
        <is>
          <t>153707299700738</t>
        </is>
      </c>
      <c r="I4" t="inlineStr">
        <is>
          <t>4902397847939</t>
        </is>
      </c>
      <c r="J4" t="inlineStr">
        <is>
          <t>M10265743</t>
        </is>
      </c>
      <c r="K4" t="inlineStr">
        <is>
          <t>Sheba 希寶</t>
        </is>
      </c>
      <c r="L4" t="inlineStr">
        <is>
          <t>[組出]Sheba 希寶 日式鮮饌包 貓副食餐包, 鮮魚總匯 鮪魚 + 鯛魚, 35g, 12包, 1盒</t>
        </is>
      </c>
      <c r="M4" t="n">
        <v>110</v>
      </c>
      <c r="N4" t="n">
        <v>110</v>
      </c>
      <c r="O4" t="inlineStr">
        <is>
          <t>盒</t>
        </is>
      </c>
      <c r="P4" t="n">
        <v>8</v>
      </c>
      <c r="Q4">
        <f>N4/P4</f>
        <v/>
      </c>
      <c r="R4" s="1" t="n">
        <v>229</v>
      </c>
      <c r="S4" s="1" t="n">
        <v>229</v>
      </c>
      <c r="T4">
        <f>IF(R4=S4,"相符","不相符")</f>
        <v/>
      </c>
      <c r="U4" t="inlineStr">
        <is>
          <t>M10265743</t>
        </is>
      </c>
      <c r="V4">
        <f>P4*R4</f>
        <v/>
      </c>
      <c r="W4">
        <f>Q4*V4</f>
        <v/>
      </c>
      <c r="X4" t="n">
        <v>730</v>
      </c>
      <c r="Y4" t="inlineStr">
        <is>
          <t>(M)-
(E)2027-08-21</t>
        </is>
      </c>
      <c r="Z4" t="inlineStr">
        <is>
          <t>MPO_0812</t>
        </is>
      </c>
      <c r="AC4" t="inlineStr">
        <is>
          <t>YY/MM/DD</t>
        </is>
      </c>
    </row>
    <row r="5">
      <c r="A5" t="inlineStr">
        <is>
          <t>一般</t>
        </is>
      </c>
      <c r="B5" t="inlineStr">
        <is>
          <t>瑪氏</t>
        </is>
      </c>
      <c r="C5" t="inlineStr">
        <is>
          <t>13000000448801</t>
        </is>
      </c>
      <c r="D5" t="inlineStr">
        <is>
          <t>TAO1</t>
        </is>
      </c>
      <c r="E5" t="inlineStr">
        <is>
          <t>桃園市大園區建國路102號4樓 B棟(倉儲棟)</t>
        </is>
      </c>
      <c r="F5" s="3" t="n">
        <v>46256</v>
      </c>
      <c r="G5" t="n">
        <v>4</v>
      </c>
      <c r="H5" t="inlineStr">
        <is>
          <t>153707350032384</t>
        </is>
      </c>
      <c r="I5" t="inlineStr">
        <is>
          <t>19334214023943</t>
        </is>
      </c>
      <c r="J5" t="inlineStr">
        <is>
          <t>M60018005</t>
        </is>
      </c>
      <c r="K5" t="inlineStr">
        <is>
          <t>Sheba 希寶</t>
        </is>
      </c>
      <c r="L5" t="inlineStr">
        <is>
          <t>[箱裝]Sheba 希寶 金罐 湯汁, 鮮湯鮪魚 + 蝦, 85g, 24罐, 1箱</t>
        </is>
      </c>
      <c r="M5" t="n">
        <v>50</v>
      </c>
      <c r="N5" t="n">
        <v>50</v>
      </c>
      <c r="O5" t="inlineStr">
        <is>
          <t>箱</t>
        </is>
      </c>
      <c r="P5" t="n">
        <v>1</v>
      </c>
      <c r="Q5">
        <f>N5/P5</f>
        <v/>
      </c>
      <c r="R5" s="1" t="n">
        <v>635</v>
      </c>
      <c r="S5" s="1" t="n">
        <v>635</v>
      </c>
      <c r="T5">
        <f>IF(R5=S5,"相符","不相符")</f>
        <v/>
      </c>
      <c r="U5" t="inlineStr">
        <is>
          <t>M10201246-1</t>
        </is>
      </c>
      <c r="V5">
        <f>P5*R5</f>
        <v/>
      </c>
      <c r="W5">
        <f>Q5*V5</f>
        <v/>
      </c>
      <c r="X5" t="n">
        <v>730</v>
      </c>
      <c r="Y5" t="inlineStr">
        <is>
          <t>(M)-
(E)2027-08-16</t>
        </is>
      </c>
      <c r="Z5" t="inlineStr">
        <is>
          <t>MPO_0812</t>
        </is>
      </c>
      <c r="AC5" t="inlineStr">
        <is>
          <t>YY/MM/DD</t>
        </is>
      </c>
    </row>
    <row r="6">
      <c r="A6" t="inlineStr">
        <is>
          <t>一般</t>
        </is>
      </c>
      <c r="B6" t="inlineStr">
        <is>
          <t>瑪氏</t>
        </is>
      </c>
      <c r="C6" t="inlineStr">
        <is>
          <t>13000000448801</t>
        </is>
      </c>
      <c r="D6" t="inlineStr">
        <is>
          <t>TAO1</t>
        </is>
      </c>
      <c r="E6" t="inlineStr">
        <is>
          <t>桃園市大園區建國路102號4樓 B棟(倉儲棟)</t>
        </is>
      </c>
      <c r="F6" s="3" t="n">
        <v>46256</v>
      </c>
      <c r="G6" t="n">
        <v>5</v>
      </c>
      <c r="H6" t="inlineStr">
        <is>
          <t>153740669566978</t>
        </is>
      </c>
      <c r="I6" t="inlineStr">
        <is>
          <t>4714686007654</t>
        </is>
      </c>
      <c r="J6" t="inlineStr">
        <is>
          <t>M10279580</t>
        </is>
      </c>
      <c r="K6" t="inlineStr">
        <is>
          <t>Cesar 西莎</t>
        </is>
      </c>
      <c r="L6" t="inlineStr">
        <is>
          <t>[箱裝] Cesar 西莎 精緻餐盒, 牛肉口味, 100g, 24罐</t>
        </is>
      </c>
      <c r="M6" t="n">
        <v>360</v>
      </c>
      <c r="N6" t="n">
        <v>360</v>
      </c>
      <c r="O6" t="inlineStr">
        <is>
          <t>盒</t>
        </is>
      </c>
      <c r="P6" t="n">
        <v>4</v>
      </c>
      <c r="Q6">
        <f>N6/P6</f>
        <v/>
      </c>
      <c r="R6" s="1" t="n">
        <v>555</v>
      </c>
      <c r="S6" s="1" t="n">
        <v>555</v>
      </c>
      <c r="T6">
        <f>IF(R6=S6,"相符","不相符")</f>
        <v/>
      </c>
      <c r="U6" t="inlineStr">
        <is>
          <t>M10279580</t>
        </is>
      </c>
      <c r="V6">
        <f>P6*R6</f>
        <v/>
      </c>
      <c r="W6">
        <f>Q6*V6</f>
        <v/>
      </c>
      <c r="X6" t="n">
        <v>730</v>
      </c>
      <c r="Y6" t="inlineStr">
        <is>
          <t>(M)-
(E)2027-08-21</t>
        </is>
      </c>
      <c r="Z6" t="inlineStr">
        <is>
          <t>MPO_0812</t>
        </is>
      </c>
      <c r="AC6" t="inlineStr">
        <is>
          <t>DD/MM/YY</t>
        </is>
      </c>
    </row>
    <row r="7">
      <c r="A7" t="inlineStr">
        <is>
          <t>一般</t>
        </is>
      </c>
      <c r="B7" t="inlineStr">
        <is>
          <t>瑪氏</t>
        </is>
      </c>
      <c r="C7" t="inlineStr">
        <is>
          <t>13000000448801</t>
        </is>
      </c>
      <c r="D7" t="inlineStr">
        <is>
          <t>TAO1</t>
        </is>
      </c>
      <c r="E7" t="inlineStr">
        <is>
          <t>桃園市大園區建國路102號4樓 B棟(倉儲棟)</t>
        </is>
      </c>
      <c r="F7" s="3" t="n">
        <v>46256</v>
      </c>
      <c r="G7" t="n">
        <v>6</v>
      </c>
      <c r="H7" t="inlineStr">
        <is>
          <t>153740686344194</t>
        </is>
      </c>
      <c r="I7" t="inlineStr">
        <is>
          <t>4714686007753</t>
        </is>
      </c>
      <c r="J7" t="inlineStr">
        <is>
          <t>M10279578</t>
        </is>
      </c>
      <c r="K7" t="inlineStr">
        <is>
          <t>Cesar 西莎</t>
        </is>
      </c>
      <c r="L7" t="inlineStr">
        <is>
          <t>[箱裝] Cesar 西莎 風味餐盒, 南法野菜燉雞口味, 100g, 24罐</t>
        </is>
      </c>
      <c r="M7" t="n">
        <v>130</v>
      </c>
      <c r="N7" t="n">
        <v>130</v>
      </c>
      <c r="O7" t="inlineStr">
        <is>
          <t>盒</t>
        </is>
      </c>
      <c r="P7" t="n">
        <v>4</v>
      </c>
      <c r="Q7">
        <f>N7/P7</f>
        <v/>
      </c>
      <c r="R7" s="1" t="n">
        <v>555</v>
      </c>
      <c r="S7" s="1" t="n">
        <v>555</v>
      </c>
      <c r="T7">
        <f>IF(R7=S7,"相符","不相符")</f>
        <v/>
      </c>
      <c r="U7" t="inlineStr">
        <is>
          <t>M10279578</t>
        </is>
      </c>
      <c r="V7">
        <f>P7*R7</f>
        <v/>
      </c>
      <c r="W7">
        <f>Q7*V7</f>
        <v/>
      </c>
      <c r="X7" t="n">
        <v>730</v>
      </c>
      <c r="Y7" t="inlineStr">
        <is>
          <t>(M)-
(E)2027-08-16</t>
        </is>
      </c>
      <c r="Z7" t="inlineStr">
        <is>
          <t>MPO_0812</t>
        </is>
      </c>
      <c r="AC7" t="inlineStr">
        <is>
          <t>DD/MM/YY</t>
        </is>
      </c>
    </row>
    <row r="8">
      <c r="A8" t="inlineStr">
        <is>
          <t>一般</t>
        </is>
      </c>
      <c r="B8" t="inlineStr">
        <is>
          <t>瑪氏</t>
        </is>
      </c>
      <c r="C8" t="inlineStr">
        <is>
          <t>13000000448801</t>
        </is>
      </c>
      <c r="D8" t="inlineStr">
        <is>
          <t>TAO1</t>
        </is>
      </c>
      <c r="E8" t="inlineStr">
        <is>
          <t>桃園市大園區建國路102號4樓 B棟(倉儲棟)</t>
        </is>
      </c>
      <c r="F8" s="3" t="n">
        <v>46256</v>
      </c>
      <c r="G8" t="n">
        <v>7</v>
      </c>
      <c r="H8" t="inlineStr">
        <is>
          <t>153740686344197</t>
        </is>
      </c>
      <c r="I8" t="inlineStr">
        <is>
          <t>4902397838227</t>
        </is>
      </c>
      <c r="J8" t="inlineStr">
        <is>
          <t>M10230272</t>
        </is>
      </c>
      <c r="K8" t="inlineStr">
        <is>
          <t>Cesar 西莎</t>
        </is>
      </c>
      <c r="L8" t="inlineStr">
        <is>
          <t>[箱裝] Cesar 西莎 14歲以上超高齡犬 熟齡餐盒, 牛肉 + 蔬菜口味, 100g, 24罐</t>
        </is>
      </c>
      <c r="M8" t="n">
        <v>520</v>
      </c>
      <c r="N8" t="n">
        <v>520</v>
      </c>
      <c r="O8" t="inlineStr">
        <is>
          <t>盒</t>
        </is>
      </c>
      <c r="P8" t="n">
        <v>4</v>
      </c>
      <c r="Q8">
        <f>N8/P8</f>
        <v/>
      </c>
      <c r="R8" s="1" t="n">
        <v>555</v>
      </c>
      <c r="S8" s="1" t="n">
        <v>555</v>
      </c>
      <c r="T8">
        <f>IF(R8=S8,"相符","不相符")</f>
        <v/>
      </c>
      <c r="U8" t="inlineStr">
        <is>
          <t>M10230272</t>
        </is>
      </c>
      <c r="V8">
        <f>P8*R8</f>
        <v/>
      </c>
      <c r="W8">
        <f>Q8*V8</f>
        <v/>
      </c>
      <c r="X8" t="n">
        <v>730</v>
      </c>
      <c r="Y8" t="inlineStr">
        <is>
          <t>(M)-
(E)2027-08-21</t>
        </is>
      </c>
      <c r="Z8" t="inlineStr">
        <is>
          <t>MPO_0812</t>
        </is>
      </c>
      <c r="AC8" t="inlineStr">
        <is>
          <t>YY/MM/DD</t>
        </is>
      </c>
    </row>
    <row r="9">
      <c r="A9" t="inlineStr">
        <is>
          <t>一般</t>
        </is>
      </c>
      <c r="B9" t="inlineStr">
        <is>
          <t>瑪氏</t>
        </is>
      </c>
      <c r="C9" t="inlineStr">
        <is>
          <t>13000000448801</t>
        </is>
      </c>
      <c r="D9" t="inlineStr">
        <is>
          <t>TAO1</t>
        </is>
      </c>
      <c r="E9" t="inlineStr">
        <is>
          <t>桃園市大園區建國路102號4樓 B棟(倉儲棟)</t>
        </is>
      </c>
      <c r="F9" s="3" t="n">
        <v>46256</v>
      </c>
      <c r="G9" t="n">
        <v>8</v>
      </c>
      <c r="H9" t="inlineStr">
        <is>
          <t>153741084835842</t>
        </is>
      </c>
      <c r="I9" t="inlineStr">
        <is>
          <t>4902397839200</t>
        </is>
      </c>
      <c r="J9" t="inlineStr">
        <is>
          <t>M60002183</t>
        </is>
      </c>
      <c r="K9" t="inlineStr">
        <is>
          <t>Cesar 西莎</t>
        </is>
      </c>
      <c r="L9" t="inlineStr">
        <is>
          <t>[組出] Cesar 西莎 成犬 蒸鮮包, 牛肉 + 蔬菜口味, 70g, 16包</t>
        </is>
      </c>
      <c r="M9" t="n">
        <v>110</v>
      </c>
      <c r="N9" t="n">
        <v>110</v>
      </c>
      <c r="O9" t="inlineStr">
        <is>
          <t>盒</t>
        </is>
      </c>
      <c r="P9" t="n">
        <v>10</v>
      </c>
      <c r="Q9">
        <f>N9/P9</f>
        <v/>
      </c>
      <c r="R9" s="1" t="n">
        <v>277</v>
      </c>
      <c r="S9" s="1" t="n">
        <v>277</v>
      </c>
      <c r="T9">
        <f>IF(R9=S9,"相符","不相符")</f>
        <v/>
      </c>
      <c r="U9" t="inlineStr">
        <is>
          <t>M10243539</t>
        </is>
      </c>
      <c r="V9">
        <f>P9*R9</f>
        <v/>
      </c>
      <c r="W9">
        <f>Q9*V9</f>
        <v/>
      </c>
      <c r="X9" t="n">
        <v>730</v>
      </c>
      <c r="Y9" t="inlineStr">
        <is>
          <t>(M)-
(E)2027-08-21</t>
        </is>
      </c>
      <c r="Z9" t="inlineStr">
        <is>
          <t>MPO_0812</t>
        </is>
      </c>
      <c r="AC9" t="inlineStr">
        <is>
          <t>YY/MM/DD</t>
        </is>
      </c>
    </row>
    <row r="10">
      <c r="A10" t="inlineStr">
        <is>
          <t>一般</t>
        </is>
      </c>
      <c r="B10" t="inlineStr">
        <is>
          <t>瑪氏</t>
        </is>
      </c>
      <c r="C10" t="inlineStr">
        <is>
          <t>13000000448801</t>
        </is>
      </c>
      <c r="D10" t="inlineStr">
        <is>
          <t>TAO1</t>
        </is>
      </c>
      <c r="E10" t="inlineStr">
        <is>
          <t>桃園市大園區建國路102號4樓 B棟(倉儲棟)</t>
        </is>
      </c>
      <c r="F10" s="3" t="n">
        <v>46256</v>
      </c>
      <c r="G10" t="n">
        <v>9</v>
      </c>
      <c r="H10" t="inlineStr">
        <is>
          <t>153741449723904</t>
        </is>
      </c>
      <c r="I10" t="inlineStr">
        <is>
          <t>4714686007760</t>
        </is>
      </c>
      <c r="J10" t="inlineStr">
        <is>
          <t>M10204218</t>
        </is>
      </c>
      <c r="K10" t="inlineStr">
        <is>
          <t>Cesar 西莎</t>
        </is>
      </c>
      <c r="L10" t="inlineStr">
        <is>
          <t>[箱裝] Cesar 西莎 風味餐盒, 經典嫩烤火雞口味, 100g, 24罐</t>
        </is>
      </c>
      <c r="M10" t="n">
        <v>140</v>
      </c>
      <c r="N10" t="n">
        <v>140</v>
      </c>
      <c r="O10" t="inlineStr">
        <is>
          <t>盒</t>
        </is>
      </c>
      <c r="P10" t="n">
        <v>4</v>
      </c>
      <c r="Q10">
        <f>N10/P10</f>
        <v/>
      </c>
      <c r="R10" s="1" t="n">
        <v>555</v>
      </c>
      <c r="S10" s="1" t="n">
        <v>555</v>
      </c>
      <c r="T10">
        <f>IF(R10=S10,"相符","不相符")</f>
        <v/>
      </c>
      <c r="U10" t="inlineStr">
        <is>
          <t>M10204218</t>
        </is>
      </c>
      <c r="V10">
        <f>P10*R10</f>
        <v/>
      </c>
      <c r="W10">
        <f>Q10*V10</f>
        <v/>
      </c>
      <c r="X10" t="n">
        <v>730</v>
      </c>
      <c r="Y10" t="inlineStr">
        <is>
          <t>(M)-
(E)2027-08-21</t>
        </is>
      </c>
      <c r="Z10" t="inlineStr">
        <is>
          <t>MPO_0812</t>
        </is>
      </c>
      <c r="AC10" t="inlineStr">
        <is>
          <t>DD/MM/YY</t>
        </is>
      </c>
    </row>
    <row r="11">
      <c r="A11" t="inlineStr">
        <is>
          <t>一般</t>
        </is>
      </c>
      <c r="B11" t="inlineStr">
        <is>
          <t>瑪氏</t>
        </is>
      </c>
      <c r="C11" t="inlineStr">
        <is>
          <t>13000000448801</t>
        </is>
      </c>
      <c r="D11" t="inlineStr">
        <is>
          <t>TAO1</t>
        </is>
      </c>
      <c r="E11" t="inlineStr">
        <is>
          <t>桃園市大園區建國路102號4樓 B棟(倉儲棟)</t>
        </is>
      </c>
      <c r="F11" s="3" t="n">
        <v>46256</v>
      </c>
      <c r="G11" t="n">
        <v>10</v>
      </c>
      <c r="H11" t="inlineStr">
        <is>
          <t>153741449723908</t>
        </is>
      </c>
      <c r="I11" t="inlineStr">
        <is>
          <t>4714686007715</t>
        </is>
      </c>
      <c r="J11" t="inlineStr">
        <is>
          <t>M10279554</t>
        </is>
      </c>
      <c r="K11" t="inlineStr">
        <is>
          <t>Cesar 西莎</t>
        </is>
      </c>
      <c r="L11" t="inlineStr">
        <is>
          <t>[箱裝] Cesar 西莎 風味餐盒, 鄉村嫩燒小羊肉口味, 100g, 24罐</t>
        </is>
      </c>
      <c r="M11" t="n">
        <v>460</v>
      </c>
      <c r="N11" t="n">
        <v>460</v>
      </c>
      <c r="O11" t="inlineStr">
        <is>
          <t>盒</t>
        </is>
      </c>
      <c r="P11" t="n">
        <v>4</v>
      </c>
      <c r="Q11">
        <f>N11/P11</f>
        <v/>
      </c>
      <c r="R11" s="1" t="n">
        <v>555</v>
      </c>
      <c r="S11" s="1" t="n">
        <v>555</v>
      </c>
      <c r="T11">
        <f>IF(R11=S11,"相符","不相符")</f>
        <v/>
      </c>
      <c r="U11" t="inlineStr">
        <is>
          <t>M10279554</t>
        </is>
      </c>
      <c r="V11">
        <f>P11*R11</f>
        <v/>
      </c>
      <c r="W11">
        <f>Q11*V11</f>
        <v/>
      </c>
      <c r="X11" t="n">
        <v>730</v>
      </c>
      <c r="Y11" t="inlineStr">
        <is>
          <t>(M)-
(E)2027-08-21</t>
        </is>
      </c>
      <c r="Z11" t="inlineStr">
        <is>
          <t>MPO_0812</t>
        </is>
      </c>
      <c r="AC11" t="inlineStr">
        <is>
          <t>DD/MM/YY</t>
        </is>
      </c>
    </row>
    <row r="12">
      <c r="A12" t="inlineStr">
        <is>
          <t>一般</t>
        </is>
      </c>
      <c r="B12" t="inlineStr">
        <is>
          <t>瑪氏</t>
        </is>
      </c>
      <c r="C12" t="inlineStr">
        <is>
          <t>13000000448801</t>
        </is>
      </c>
      <c r="D12" t="inlineStr">
        <is>
          <t>TAO1</t>
        </is>
      </c>
      <c r="E12" t="inlineStr">
        <is>
          <t>桃園市大園區建國路102號4樓 B棟(倉儲棟)</t>
        </is>
      </c>
      <c r="F12" s="3" t="n">
        <v>46256</v>
      </c>
      <c r="G12" t="n">
        <v>11</v>
      </c>
      <c r="H12" t="inlineStr">
        <is>
          <t>153741470695425</t>
        </is>
      </c>
      <c r="I12" t="inlineStr">
        <is>
          <t>4902397835745</t>
        </is>
      </c>
      <c r="J12" t="inlineStr">
        <is>
          <t>M10279566</t>
        </is>
      </c>
      <c r="K12" t="inlineStr">
        <is>
          <t>Cesar 西莎</t>
        </is>
      </c>
      <c r="L12" t="inlineStr">
        <is>
          <t>[箱裝] Cesar 西莎 11歲以上高齡犬 熟齡餐盒, 雞肉口味, 100g, 24罐</t>
        </is>
      </c>
      <c r="M12" t="n">
        <v>200</v>
      </c>
      <c r="N12" t="n">
        <v>200</v>
      </c>
      <c r="O12" t="inlineStr">
        <is>
          <t>盒</t>
        </is>
      </c>
      <c r="P12" t="n">
        <v>4</v>
      </c>
      <c r="Q12">
        <f>N12/P12</f>
        <v/>
      </c>
      <c r="R12" s="1" t="n">
        <v>555</v>
      </c>
      <c r="S12" s="1" t="n">
        <v>555</v>
      </c>
      <c r="T12">
        <f>IF(R12=S12,"相符","不相符")</f>
        <v/>
      </c>
      <c r="U12" t="inlineStr">
        <is>
          <t>M10230269</t>
        </is>
      </c>
      <c r="V12">
        <f>P12*R12</f>
        <v/>
      </c>
      <c r="W12">
        <f>Q12*V12</f>
        <v/>
      </c>
      <c r="X12" t="n">
        <v>730</v>
      </c>
      <c r="Y12" t="inlineStr">
        <is>
          <t>(M)-
(E)2027-08-16</t>
        </is>
      </c>
      <c r="Z12" t="inlineStr">
        <is>
          <t>MPO_0812</t>
        </is>
      </c>
      <c r="AC12" t="inlineStr">
        <is>
          <t>YY/MM/DD</t>
        </is>
      </c>
    </row>
    <row r="13">
      <c r="A13" t="inlineStr">
        <is>
          <t>一般</t>
        </is>
      </c>
      <c r="B13" t="inlineStr">
        <is>
          <t>瑪氏</t>
        </is>
      </c>
      <c r="C13" t="inlineStr">
        <is>
          <t>13000000448801</t>
        </is>
      </c>
      <c r="D13" t="inlineStr">
        <is>
          <t>TAO1</t>
        </is>
      </c>
      <c r="E13" t="inlineStr">
        <is>
          <t>桃園市大園區建國路102號4樓 B棟(倉儲棟)</t>
        </is>
      </c>
      <c r="F13" s="3" t="n">
        <v>46256</v>
      </c>
      <c r="G13" t="n">
        <v>12</v>
      </c>
      <c r="H13" t="inlineStr">
        <is>
          <t>153741596524544</t>
        </is>
      </c>
      <c r="I13" t="inlineStr">
        <is>
          <t>4714686007692</t>
        </is>
      </c>
      <c r="J13" t="inlineStr">
        <is>
          <t>M10204215</t>
        </is>
      </c>
      <c r="K13" t="inlineStr">
        <is>
          <t>Cesar 西莎</t>
        </is>
      </c>
      <c r="L13" t="inlineStr">
        <is>
          <t>[箱裝] Cesar 西莎 風味餐盒, 田園香米燉牛肉口味, 100g, 24罐</t>
        </is>
      </c>
      <c r="M13" t="n">
        <v>80</v>
      </c>
      <c r="N13" t="n">
        <v>80</v>
      </c>
      <c r="O13" t="inlineStr">
        <is>
          <t>盒</t>
        </is>
      </c>
      <c r="P13" t="n">
        <v>4</v>
      </c>
      <c r="Q13">
        <f>N13/P13</f>
        <v/>
      </c>
      <c r="R13" s="1" t="n">
        <v>555</v>
      </c>
      <c r="S13" s="1" t="n">
        <v>555</v>
      </c>
      <c r="T13">
        <f>IF(R13=S13,"相符","不相符")</f>
        <v/>
      </c>
      <c r="U13" t="inlineStr">
        <is>
          <t>M10204215</t>
        </is>
      </c>
      <c r="V13">
        <f>P13*R13</f>
        <v/>
      </c>
      <c r="W13">
        <f>Q13*V13</f>
        <v/>
      </c>
      <c r="X13" t="n">
        <v>730</v>
      </c>
      <c r="Y13" t="inlineStr">
        <is>
          <t>(M)-
(E)2027-08-21</t>
        </is>
      </c>
      <c r="Z13" t="inlineStr">
        <is>
          <t>MPO_0812</t>
        </is>
      </c>
      <c r="AC13" t="inlineStr">
        <is>
          <t>DD/MM/YY</t>
        </is>
      </c>
    </row>
    <row r="14">
      <c r="A14" t="inlineStr">
        <is>
          <t>一般</t>
        </is>
      </c>
      <c r="C14" t="inlineStr">
        <is>
          <t>13000000448801</t>
        </is>
      </c>
      <c r="D14" t="inlineStr">
        <is>
          <t>TAO1</t>
        </is>
      </c>
      <c r="E14" t="inlineStr">
        <is>
          <t>桃園市大園區建國路102號4樓 B棟(倉儲棟)</t>
        </is>
      </c>
      <c r="F14" s="3" t="n">
        <v>46256</v>
      </c>
      <c r="G14" t="n">
        <v>13</v>
      </c>
      <c r="H14" t="inlineStr">
        <is>
          <t>270341033148418</t>
        </is>
      </c>
      <c r="I14" t="inlineStr">
        <is>
          <t>9334214022888</t>
        </is>
      </c>
      <c r="L14" t="inlineStr">
        <is>
          <t>Pedigree 寶路 X型潔牙骨, 原味, 中型犬專用, 344g, 1包</t>
        </is>
      </c>
      <c r="M14" t="n">
        <v>30</v>
      </c>
      <c r="N14" t="n">
        <v>30</v>
      </c>
      <c r="P14" t="n">
        <v>0</v>
      </c>
      <c r="Q14">
        <f>N14/P14</f>
        <v/>
      </c>
      <c r="R14" s="1" t="n">
        <v>216</v>
      </c>
      <c r="S14" s="1" t="n">
        <v>0</v>
      </c>
      <c r="T14">
        <f>IF(R14=S14,"相符","不相符")</f>
        <v/>
      </c>
      <c r="V14">
        <f>P14*R14</f>
        <v/>
      </c>
      <c r="W14">
        <f>Q14*V14</f>
        <v/>
      </c>
      <c r="X14" t="n">
        <v>0</v>
      </c>
      <c r="Y14" t="inlineStr">
        <is>
          <t>(M)-
(E)2027-05-18</t>
        </is>
      </c>
      <c r="Z14" t="inlineStr">
        <is>
          <t>MPO_0812</t>
        </is>
      </c>
    </row>
    <row r="15">
      <c r="A15" t="inlineStr">
        <is>
          <t>一般</t>
        </is>
      </c>
      <c r="B15" t="inlineStr">
        <is>
          <t>瑪氏</t>
        </is>
      </c>
      <c r="C15" t="inlineStr">
        <is>
          <t>13000000448801</t>
        </is>
      </c>
      <c r="D15" t="inlineStr">
        <is>
          <t>TAO1</t>
        </is>
      </c>
      <c r="E15" t="inlineStr">
        <is>
          <t>桃園市大園區建國路102號4樓 B棟(倉儲棟)</t>
        </is>
      </c>
      <c r="F15" s="3" t="n">
        <v>46256</v>
      </c>
      <c r="G15" t="n">
        <v>14</v>
      </c>
      <c r="H15" t="inlineStr">
        <is>
          <t>276214220570624</t>
        </is>
      </c>
      <c r="I15" t="inlineStr">
        <is>
          <t>0642863041266</t>
        </is>
      </c>
      <c r="J15" t="inlineStr">
        <is>
          <t>M10225150</t>
        </is>
      </c>
      <c r="K15" t="inlineStr">
        <is>
          <t>Greenies 健綠</t>
        </is>
      </c>
      <c r="L15" t="inlineStr">
        <is>
          <t>Greenies 健綠 潔牙骨, 原味, 7~11kg 小型犬專用, 27oz, 1盒</t>
        </is>
      </c>
      <c r="M15" t="n">
        <v>180</v>
      </c>
      <c r="N15" t="n">
        <v>180</v>
      </c>
      <c r="O15" t="inlineStr">
        <is>
          <t>盒</t>
        </is>
      </c>
      <c r="P15" t="n">
        <v>12</v>
      </c>
      <c r="Q15">
        <f>N15/P15</f>
        <v/>
      </c>
      <c r="R15" s="1" t="n">
        <v>658</v>
      </c>
      <c r="S15" s="1" t="n">
        <v>658</v>
      </c>
      <c r="T15">
        <f>IF(R15=S15,"相符","不相符")</f>
        <v/>
      </c>
      <c r="U15" t="inlineStr">
        <is>
          <t>M10225150</t>
        </is>
      </c>
      <c r="V15">
        <f>P15*R15</f>
        <v/>
      </c>
      <c r="W15">
        <f>Q15*V15</f>
        <v/>
      </c>
      <c r="X15" t="n">
        <v>540</v>
      </c>
      <c r="Y15" t="inlineStr">
        <is>
          <t>(M)-
(E)2027-05-21</t>
        </is>
      </c>
      <c r="Z15" t="inlineStr">
        <is>
          <t>MPO_0812</t>
        </is>
      </c>
      <c r="AC15" t="inlineStr">
        <is>
          <t>DD/MM/YY</t>
        </is>
      </c>
    </row>
    <row r="16">
      <c r="A16" t="inlineStr">
        <is>
          <t>一般</t>
        </is>
      </c>
      <c r="B16" t="inlineStr">
        <is>
          <t>瑪氏</t>
        </is>
      </c>
      <c r="C16" t="inlineStr">
        <is>
          <t>13000000448801</t>
        </is>
      </c>
      <c r="D16" t="inlineStr">
        <is>
          <t>TAO1</t>
        </is>
      </c>
      <c r="E16" t="inlineStr">
        <is>
          <t>桃園市大園區建國路102號4樓 B棟(倉儲棟)</t>
        </is>
      </c>
      <c r="F16" s="3" t="n">
        <v>46256</v>
      </c>
      <c r="G16" t="n">
        <v>15</v>
      </c>
      <c r="H16" t="inlineStr">
        <is>
          <t>276560586178560</t>
        </is>
      </c>
      <c r="I16" t="inlineStr">
        <is>
          <t>19334214023967</t>
        </is>
      </c>
      <c r="J16" t="inlineStr">
        <is>
          <t>M60018011</t>
        </is>
      </c>
      <c r="K16" t="inlineStr">
        <is>
          <t>Sheba 希寶</t>
        </is>
      </c>
      <c r="L16" t="inlineStr">
        <is>
          <t>[箱裝]Sheba 希寶 金罐 湯汁, 鮮煮雞胸肉, 85g, 24罐, 1箱</t>
        </is>
      </c>
      <c r="M16" t="n">
        <v>20</v>
      </c>
      <c r="N16" t="n">
        <v>20</v>
      </c>
      <c r="O16" t="inlineStr">
        <is>
          <t>箱</t>
        </is>
      </c>
      <c r="P16" t="n">
        <v>1</v>
      </c>
      <c r="Q16">
        <f>N16/P16</f>
        <v/>
      </c>
      <c r="R16" s="1" t="n">
        <v>635</v>
      </c>
      <c r="S16" s="1" t="n">
        <v>635</v>
      </c>
      <c r="T16">
        <f>IF(R16=S16,"相符","不相符")</f>
        <v/>
      </c>
      <c r="U16" t="inlineStr">
        <is>
          <t>M10201250-1</t>
        </is>
      </c>
      <c r="V16">
        <f>P16*R16</f>
        <v/>
      </c>
      <c r="W16">
        <f>Q16*V16</f>
        <v/>
      </c>
      <c r="X16" t="n">
        <v>730</v>
      </c>
      <c r="Y16" t="inlineStr">
        <is>
          <t>(M)-
(E)2027-08-16</t>
        </is>
      </c>
      <c r="Z16" t="inlineStr">
        <is>
          <t>MPO_0812</t>
        </is>
      </c>
      <c r="AC16" t="inlineStr">
        <is>
          <t>YY/MM/DD</t>
        </is>
      </c>
    </row>
    <row r="17">
      <c r="A17" t="inlineStr">
        <is>
          <t>一般</t>
        </is>
      </c>
      <c r="B17" t="inlineStr">
        <is>
          <t>瑪氏</t>
        </is>
      </c>
      <c r="C17" t="inlineStr">
        <is>
          <t>13000000448801</t>
        </is>
      </c>
      <c r="D17" t="inlineStr">
        <is>
          <t>TAO1</t>
        </is>
      </c>
      <c r="E17" t="inlineStr">
        <is>
          <t>桃園市大園區建國路102號4樓 B棟(倉儲棟)</t>
        </is>
      </c>
      <c r="F17" s="3" t="n">
        <v>46256</v>
      </c>
      <c r="G17" t="n">
        <v>16</v>
      </c>
      <c r="H17" t="inlineStr">
        <is>
          <t>334113106001920</t>
        </is>
      </c>
      <c r="I17" t="inlineStr">
        <is>
          <t>19334214024995</t>
        </is>
      </c>
      <c r="J17" t="inlineStr">
        <is>
          <t>M10403052</t>
        </is>
      </c>
      <c r="K17" t="inlineStr">
        <is>
          <t>Sheba 希寶</t>
        </is>
      </c>
      <c r="L17" t="inlineStr">
        <is>
          <t>[箱裝]Sheba 希寶 鮮饌包 貓主食餐包, 鮪魚 + 蟹肉, 70g, 24包, 1箱</t>
        </is>
      </c>
      <c r="M17" t="n">
        <v>100</v>
      </c>
      <c r="N17" t="n">
        <v>100</v>
      </c>
      <c r="O17" t="inlineStr">
        <is>
          <t>箱</t>
        </is>
      </c>
      <c r="P17" t="n">
        <v>1</v>
      </c>
      <c r="Q17">
        <f>N17/P17</f>
        <v/>
      </c>
      <c r="R17" s="1" t="n">
        <v>438</v>
      </c>
      <c r="S17" s="1" t="n">
        <v>438</v>
      </c>
      <c r="T17">
        <f>IF(R17=S17,"相符","不相符")</f>
        <v/>
      </c>
      <c r="U17" t="inlineStr">
        <is>
          <t>M10208266-1</t>
        </is>
      </c>
      <c r="V17">
        <f>P17*R17</f>
        <v/>
      </c>
      <c r="W17">
        <f>Q17*V17</f>
        <v/>
      </c>
      <c r="X17" t="n">
        <v>730</v>
      </c>
      <c r="Y17" t="inlineStr">
        <is>
          <t>(M)2025-08-22
(E)2027-08-22</t>
        </is>
      </c>
      <c r="Z17" t="inlineStr">
        <is>
          <t>MPO_0812</t>
        </is>
      </c>
      <c r="AC17" t="inlineStr">
        <is>
          <t>DD/MM/YY</t>
        </is>
      </c>
    </row>
    <row r="18">
      <c r="A18" t="inlineStr">
        <is>
          <t>一般</t>
        </is>
      </c>
      <c r="B18" t="inlineStr">
        <is>
          <t>瑪氏</t>
        </is>
      </c>
      <c r="C18" t="inlineStr">
        <is>
          <t>13000000448801</t>
        </is>
      </c>
      <c r="D18" t="inlineStr">
        <is>
          <t>TAO1</t>
        </is>
      </c>
      <c r="E18" t="inlineStr">
        <is>
          <t>桃園市大園區建國路102號4樓 B棟(倉儲棟)</t>
        </is>
      </c>
      <c r="F18" s="3" t="n">
        <v>46256</v>
      </c>
      <c r="G18" t="n">
        <v>17</v>
      </c>
      <c r="H18" t="inlineStr">
        <is>
          <t>334113106001921</t>
        </is>
      </c>
      <c r="I18" t="inlineStr">
        <is>
          <t>19334214024971</t>
        </is>
      </c>
      <c r="J18" t="inlineStr">
        <is>
          <t>M10403050</t>
        </is>
      </c>
      <c r="K18" t="inlineStr">
        <is>
          <t>Sheba 希寶</t>
        </is>
      </c>
      <c r="L18" t="inlineStr">
        <is>
          <t>[箱裝]Sheba 希寶 鮮饌包 貓主食餐包, 鮪魚, 70g, 24包, 1箱</t>
        </is>
      </c>
      <c r="M18" t="n">
        <v>140</v>
      </c>
      <c r="N18" t="n">
        <v>140</v>
      </c>
      <c r="O18" t="inlineStr">
        <is>
          <t>箱</t>
        </is>
      </c>
      <c r="P18" t="n">
        <v>1</v>
      </c>
      <c r="Q18">
        <f>N18/P18</f>
        <v/>
      </c>
      <c r="R18" s="1" t="n">
        <v>438</v>
      </c>
      <c r="S18" s="1" t="n">
        <v>438</v>
      </c>
      <c r="T18">
        <f>IF(R18=S18,"相符","不相符")</f>
        <v/>
      </c>
      <c r="U18" t="inlineStr">
        <is>
          <t>M10208263-1</t>
        </is>
      </c>
      <c r="V18">
        <f>P18*R18</f>
        <v/>
      </c>
      <c r="W18">
        <f>Q18*V18</f>
        <v/>
      </c>
      <c r="X18" t="n">
        <v>730</v>
      </c>
      <c r="Y18" t="inlineStr">
        <is>
          <t>(M)-
(E)2027-08-21</t>
        </is>
      </c>
      <c r="Z18" t="inlineStr">
        <is>
          <t>MPO_0812</t>
        </is>
      </c>
      <c r="AC18" t="inlineStr">
        <is>
          <t>DD/MM/YY</t>
        </is>
      </c>
    </row>
    <row r="19">
      <c r="A19" t="inlineStr">
        <is>
          <t>一般</t>
        </is>
      </c>
      <c r="B19" t="inlineStr">
        <is>
          <t>瑪氏</t>
        </is>
      </c>
      <c r="C19" t="inlineStr">
        <is>
          <t>13000000448801</t>
        </is>
      </c>
      <c r="D19" t="inlineStr">
        <is>
          <t>TAO1</t>
        </is>
      </c>
      <c r="E19" t="inlineStr">
        <is>
          <t>桃園市大園區建國路102號4樓 B棟(倉儲棟)</t>
        </is>
      </c>
      <c r="F19" s="3" t="n">
        <v>46256</v>
      </c>
      <c r="G19" t="n">
        <v>18</v>
      </c>
      <c r="H19" t="inlineStr">
        <is>
          <t>334483198771200</t>
        </is>
      </c>
      <c r="I19" t="inlineStr">
        <is>
          <t>19334214036394</t>
        </is>
      </c>
      <c r="J19" t="inlineStr">
        <is>
          <t>M60018003</t>
        </is>
      </c>
      <c r="K19" t="inlineStr">
        <is>
          <t>Sheba 希寶</t>
        </is>
      </c>
      <c r="L19" t="inlineStr">
        <is>
          <t>[箱裝]Sheba 希寶 金罐 湯汁, 鮪魚 + 白身魚, 85g, 24罐, 1箱</t>
        </is>
      </c>
      <c r="M19" t="n">
        <v>40</v>
      </c>
      <c r="N19" t="n">
        <v>40</v>
      </c>
      <c r="O19" t="inlineStr">
        <is>
          <t>箱</t>
        </is>
      </c>
      <c r="P19" t="n">
        <v>1</v>
      </c>
      <c r="Q19">
        <f>N19/P19</f>
        <v/>
      </c>
      <c r="R19" s="1" t="n">
        <v>635</v>
      </c>
      <c r="S19" s="1" t="n">
        <v>635</v>
      </c>
      <c r="T19">
        <f>IF(R19=S19,"相符","不相符")</f>
        <v/>
      </c>
      <c r="U19" t="inlineStr">
        <is>
          <t>M10201248-1</t>
        </is>
      </c>
      <c r="V19">
        <f>P19*R19</f>
        <v/>
      </c>
      <c r="W19">
        <f>Q19*V19</f>
        <v/>
      </c>
      <c r="X19" t="n">
        <v>730</v>
      </c>
      <c r="Y19" t="inlineStr">
        <is>
          <t>(M)-
(E)2027-08-16</t>
        </is>
      </c>
      <c r="Z19" t="inlineStr">
        <is>
          <t>MPO_0812</t>
        </is>
      </c>
      <c r="AC19" t="inlineStr">
        <is>
          <t>YY/MM/DD</t>
        </is>
      </c>
    </row>
    <row r="20">
      <c r="A20" t="inlineStr">
        <is>
          <t>一般</t>
        </is>
      </c>
      <c r="B20" t="inlineStr">
        <is>
          <t>瑪氏</t>
        </is>
      </c>
      <c r="C20" t="inlineStr">
        <is>
          <t>13000000448801</t>
        </is>
      </c>
      <c r="D20" t="inlineStr">
        <is>
          <t>TAO1</t>
        </is>
      </c>
      <c r="E20" t="inlineStr">
        <is>
          <t>桃園市大園區建國路102號4樓 B棟(倉儲棟)</t>
        </is>
      </c>
      <c r="F20" s="3" t="n">
        <v>46256</v>
      </c>
      <c r="G20" t="n">
        <v>19</v>
      </c>
      <c r="H20" t="inlineStr">
        <is>
          <t>415660261736450</t>
        </is>
      </c>
      <c r="I20" t="inlineStr">
        <is>
          <t>18853301012574</t>
        </is>
      </c>
      <c r="J20" t="inlineStr">
        <is>
          <t>M60010685</t>
        </is>
      </c>
      <c r="K20" t="inlineStr">
        <is>
          <t>whiskas 偉嘉</t>
        </is>
      </c>
      <c r="L20" t="inlineStr">
        <is>
          <t>[箱裝]whiskas 偉嘉 什錦珍味妙鮮包 貓主食餐包, 海鮮總匯 + 海藻湯汁, 70g, 28包, 1箱</t>
        </is>
      </c>
      <c r="M20" t="n">
        <v>50</v>
      </c>
      <c r="N20" t="n">
        <v>50</v>
      </c>
      <c r="O20" t="inlineStr">
        <is>
          <t>箱</t>
        </is>
      </c>
      <c r="P20" t="n">
        <v>1</v>
      </c>
      <c r="Q20">
        <f>N20/P20</f>
        <v/>
      </c>
      <c r="R20" s="1" t="n">
        <v>438</v>
      </c>
      <c r="S20" s="1" t="n">
        <v>438</v>
      </c>
      <c r="T20">
        <f>IF(R20=S20,"相符","不相符")</f>
        <v/>
      </c>
      <c r="U20" t="inlineStr">
        <is>
          <t>M10272371</t>
        </is>
      </c>
      <c r="V20">
        <f>P20*R20</f>
        <v/>
      </c>
      <c r="W20">
        <f>Q20*V20</f>
        <v/>
      </c>
      <c r="X20" t="n">
        <v>730</v>
      </c>
      <c r="Y20" t="inlineStr">
        <is>
          <t>(M)-
(E)2027-08-21</t>
        </is>
      </c>
      <c r="Z20" t="inlineStr">
        <is>
          <t>MPO_0812</t>
        </is>
      </c>
      <c r="AC20" t="inlineStr">
        <is>
          <t>DD/MM/YY</t>
        </is>
      </c>
    </row>
    <row r="21">
      <c r="A21" t="inlineStr">
        <is>
          <t>一般</t>
        </is>
      </c>
      <c r="B21" t="inlineStr">
        <is>
          <t>瑪氏</t>
        </is>
      </c>
      <c r="C21" t="inlineStr">
        <is>
          <t>13000000448801</t>
        </is>
      </c>
      <c r="D21" t="inlineStr">
        <is>
          <t>TAO1</t>
        </is>
      </c>
      <c r="E21" t="inlineStr">
        <is>
          <t>桃園市大園區建國路102號4樓 B棟(倉儲棟)</t>
        </is>
      </c>
      <c r="F21" s="3" t="n">
        <v>46256</v>
      </c>
      <c r="G21" t="n">
        <v>20</v>
      </c>
      <c r="H21" t="inlineStr">
        <is>
          <t>425097001123841</t>
        </is>
      </c>
      <c r="I21" t="inlineStr">
        <is>
          <t>18853301002629</t>
        </is>
      </c>
      <c r="J21" t="inlineStr">
        <is>
          <t>M60003652</t>
        </is>
      </c>
      <c r="K21" t="inlineStr">
        <is>
          <t>Temptations 喵愛餡</t>
        </is>
      </c>
      <c r="L21" t="inlineStr">
        <is>
          <t>[箱裝] Temptations 喵愛餡 貓點心 , 化毛配方口味, 130g, 10包</t>
        </is>
      </c>
      <c r="M21" t="n">
        <v>30</v>
      </c>
      <c r="N21" t="n">
        <v>30</v>
      </c>
      <c r="O21" t="inlineStr">
        <is>
          <t>盒</t>
        </is>
      </c>
      <c r="P21" t="n">
        <v>4</v>
      </c>
      <c r="Q21">
        <f>N21/P21</f>
        <v/>
      </c>
      <c r="R21" s="1" t="n">
        <v>1170</v>
      </c>
      <c r="S21" s="1" t="n">
        <v>1170</v>
      </c>
      <c r="T21">
        <f>IF(R21=S21,"相符","不相符")</f>
        <v/>
      </c>
      <c r="U21" t="inlineStr">
        <is>
          <t>M10290724</t>
        </is>
      </c>
      <c r="V21">
        <f>P21*R21</f>
        <v/>
      </c>
      <c r="W21">
        <f>Q21*V21</f>
        <v/>
      </c>
      <c r="X21" t="n">
        <v>540</v>
      </c>
      <c r="Y21" t="inlineStr">
        <is>
          <t>(M)2025-11-25
(E)2027-05-18</t>
        </is>
      </c>
      <c r="Z21" t="inlineStr">
        <is>
          <t>MPO_0812</t>
        </is>
      </c>
      <c r="AC21" t="inlineStr">
        <is>
          <t>DD/MM/YY</t>
        </is>
      </c>
    </row>
    <row r="22">
      <c r="A22" t="inlineStr">
        <is>
          <t>一般</t>
        </is>
      </c>
      <c r="B22" t="inlineStr">
        <is>
          <t>瑪氏</t>
        </is>
      </c>
      <c r="C22" t="inlineStr">
        <is>
          <t>13000000448801</t>
        </is>
      </c>
      <c r="D22" t="inlineStr">
        <is>
          <t>TAO1</t>
        </is>
      </c>
      <c r="E22" t="inlineStr">
        <is>
          <t>桃園市大園區建國路102號4樓 B棟(倉儲棟)</t>
        </is>
      </c>
      <c r="F22" s="3" t="n">
        <v>46256</v>
      </c>
      <c r="G22" t="n">
        <v>21</v>
      </c>
      <c r="H22" t="inlineStr">
        <is>
          <t>425185559691264</t>
        </is>
      </c>
      <c r="I22" t="inlineStr">
        <is>
          <t>18853301001479</t>
        </is>
      </c>
      <c r="J22" t="inlineStr">
        <is>
          <t>M60003649</t>
        </is>
      </c>
      <c r="K22" t="inlineStr">
        <is>
          <t>Temptations 喵愛餡</t>
        </is>
      </c>
      <c r="L22" t="inlineStr">
        <is>
          <t>[箱裝]Temptations 喵愛餡 貓點心, 火烤嫩雞口味, 160g, 10包</t>
        </is>
      </c>
      <c r="M22" t="n">
        <v>50</v>
      </c>
      <c r="N22" t="n">
        <v>50</v>
      </c>
      <c r="O22" t="inlineStr">
        <is>
          <t>盒</t>
        </is>
      </c>
      <c r="P22" t="n">
        <v>4</v>
      </c>
      <c r="Q22">
        <f>N22/P22</f>
        <v/>
      </c>
      <c r="R22" s="1" t="n">
        <v>1170</v>
      </c>
      <c r="S22" s="1" t="n">
        <v>1170</v>
      </c>
      <c r="T22">
        <f>IF(R22=S22,"相符","不相符")</f>
        <v/>
      </c>
      <c r="U22" t="inlineStr">
        <is>
          <t>M10290730</t>
        </is>
      </c>
      <c r="V22">
        <f>P22*R22</f>
        <v/>
      </c>
      <c r="W22">
        <f>Q22*V22</f>
        <v/>
      </c>
      <c r="X22" t="n">
        <v>540</v>
      </c>
      <c r="Y22" t="inlineStr">
        <is>
          <t>(M)2025-11-23
(E)2027-05-21</t>
        </is>
      </c>
      <c r="Z22" t="inlineStr">
        <is>
          <t>MPO_0812</t>
        </is>
      </c>
      <c r="AC22" t="inlineStr">
        <is>
          <t>DD/MM/YY</t>
        </is>
      </c>
    </row>
    <row r="23">
      <c r="A23" t="inlineStr">
        <is>
          <t>一般</t>
        </is>
      </c>
      <c r="B23" t="inlineStr">
        <is>
          <t>瑪氏</t>
        </is>
      </c>
      <c r="C23" t="inlineStr">
        <is>
          <t>13000000448801</t>
        </is>
      </c>
      <c r="D23" t="inlineStr">
        <is>
          <t>TAO1</t>
        </is>
      </c>
      <c r="E23" t="inlineStr">
        <is>
          <t>桃園市大園區建國路102號4樓 B棟(倉儲棟)</t>
        </is>
      </c>
      <c r="F23" s="3" t="n">
        <v>46256</v>
      </c>
      <c r="G23" t="n">
        <v>22</v>
      </c>
      <c r="H23" t="inlineStr">
        <is>
          <t>483037523460098</t>
        </is>
      </c>
      <c r="I23" t="inlineStr">
        <is>
          <t>18853301012567</t>
        </is>
      </c>
      <c r="J23" t="inlineStr">
        <is>
          <t>M10272370</t>
        </is>
      </c>
      <c r="K23" t="inlineStr">
        <is>
          <t>whiskas 偉嘉</t>
        </is>
      </c>
      <c r="L23" t="inlineStr">
        <is>
          <t>[箱裝] Whiskas偉嘉 什錦珍味妙鮮包, 雞肉 + 鮪魚 + 紅蘿蔔湯汁, 70g, 28包</t>
        </is>
      </c>
      <c r="M23" t="n">
        <v>100</v>
      </c>
      <c r="N23" t="n">
        <v>100</v>
      </c>
      <c r="O23" t="inlineStr">
        <is>
          <t>箱</t>
        </is>
      </c>
      <c r="P23" t="n">
        <v>1</v>
      </c>
      <c r="Q23">
        <f>N23/P23</f>
        <v/>
      </c>
      <c r="R23" s="1" t="n">
        <v>438</v>
      </c>
      <c r="S23" s="1" t="n">
        <v>438</v>
      </c>
      <c r="T23">
        <f>IF(R23=S23,"相符","不相符")</f>
        <v/>
      </c>
      <c r="U23" t="inlineStr">
        <is>
          <t>M10272370</t>
        </is>
      </c>
      <c r="V23">
        <f>P23*R23</f>
        <v/>
      </c>
      <c r="W23">
        <f>Q23*V23</f>
        <v/>
      </c>
      <c r="X23" t="n">
        <v>730</v>
      </c>
      <c r="Y23" t="inlineStr">
        <is>
          <t>(M)-
(E)2027-08-21</t>
        </is>
      </c>
      <c r="Z23" t="inlineStr">
        <is>
          <t>MPO_0812</t>
        </is>
      </c>
      <c r="AC23" t="inlineStr">
        <is>
          <t>DD/MM/YY</t>
        </is>
      </c>
    </row>
    <row r="24">
      <c r="A24" t="inlineStr">
        <is>
          <t>一般</t>
        </is>
      </c>
      <c r="B24" t="inlineStr">
        <is>
          <t>瑪氏</t>
        </is>
      </c>
      <c r="C24" t="inlineStr">
        <is>
          <t>13000000448801</t>
        </is>
      </c>
      <c r="D24" t="inlineStr">
        <is>
          <t>TAO1</t>
        </is>
      </c>
      <c r="E24" t="inlineStr">
        <is>
          <t>桃園市大園區建國路102號4樓 B棟(倉儲棟)</t>
        </is>
      </c>
      <c r="F24" s="3" t="n">
        <v>46256</v>
      </c>
      <c r="G24" t="n">
        <v>23</v>
      </c>
      <c r="H24" t="inlineStr">
        <is>
          <t>488123276378112</t>
        </is>
      </c>
      <c r="I24" t="inlineStr">
        <is>
          <t>18853301550014</t>
        </is>
      </c>
      <c r="J24" t="inlineStr">
        <is>
          <t>M10274007</t>
        </is>
      </c>
      <c r="K24" t="inlineStr">
        <is>
          <t>whiskas 偉嘉</t>
        </is>
      </c>
      <c r="L24" t="inlineStr">
        <is>
          <t>[箱裝]Whiskas 偉嘉 妙鮮包 鮪魚, 80g, 24包</t>
        </is>
      </c>
      <c r="M24" t="n">
        <v>100</v>
      </c>
      <c r="N24" t="n">
        <v>100</v>
      </c>
      <c r="O24" t="inlineStr">
        <is>
          <t>箱</t>
        </is>
      </c>
      <c r="P24" t="n">
        <v>1</v>
      </c>
      <c r="Q24">
        <f>N24/P24</f>
        <v/>
      </c>
      <c r="R24" s="1" t="n">
        <v>394</v>
      </c>
      <c r="S24" s="1" t="n">
        <v>394</v>
      </c>
      <c r="T24">
        <f>IF(R24=S24,"相符","不相符")</f>
        <v/>
      </c>
      <c r="U24" t="inlineStr">
        <is>
          <t>M10274007</t>
        </is>
      </c>
      <c r="V24">
        <f>P24*R24</f>
        <v/>
      </c>
      <c r="W24">
        <f>Q24*V24</f>
        <v/>
      </c>
      <c r="X24" t="n">
        <v>730</v>
      </c>
      <c r="Y24" t="inlineStr">
        <is>
          <t>(M)-
(E)2027-08-21</t>
        </is>
      </c>
      <c r="Z24" t="inlineStr">
        <is>
          <t>MPO_0812</t>
        </is>
      </c>
      <c r="AC24" t="inlineStr">
        <is>
          <t>DD/MM/YY</t>
        </is>
      </c>
    </row>
    <row r="25">
      <c r="A25" t="inlineStr">
        <is>
          <t>一般</t>
        </is>
      </c>
      <c r="B25" t="inlineStr">
        <is>
          <t>瑪氏</t>
        </is>
      </c>
      <c r="C25" t="inlineStr">
        <is>
          <t>13000000448801</t>
        </is>
      </c>
      <c r="D25" t="inlineStr">
        <is>
          <t>TAO1</t>
        </is>
      </c>
      <c r="E25" t="inlineStr">
        <is>
          <t>桃園市大園區建國路102號4樓 B棟(倉儲棟)</t>
        </is>
      </c>
      <c r="F25" s="3" t="n">
        <v>46256</v>
      </c>
      <c r="G25" t="n">
        <v>24</v>
      </c>
      <c r="H25" t="inlineStr">
        <is>
          <t>522244895791653</t>
        </is>
      </c>
      <c r="I25" t="inlineStr">
        <is>
          <t>16914973706344</t>
        </is>
      </c>
      <c r="J25" t="inlineStr">
        <is>
          <t>M10403196</t>
        </is>
      </c>
      <c r="K25" t="inlineStr">
        <is>
          <t>Sheba 希寶</t>
        </is>
      </c>
      <c r="L25" t="inlineStr">
        <is>
          <t>[箱裝]Sheba 希寶 主食貓罐頭, 雞肉慕斯佐雞肝, 70g, 24罐</t>
        </is>
      </c>
      <c r="M25" t="n">
        <v>60</v>
      </c>
      <c r="N25" t="n">
        <v>60</v>
      </c>
      <c r="O25" t="inlineStr">
        <is>
          <t>箱</t>
        </is>
      </c>
      <c r="P25" t="n">
        <v>1</v>
      </c>
      <c r="Q25">
        <f>N25/P25</f>
        <v/>
      </c>
      <c r="R25" s="1" t="n">
        <v>635</v>
      </c>
      <c r="S25" s="1" t="n">
        <v>635</v>
      </c>
      <c r="T25">
        <f>IF(R25=S25,"相符","不相符")</f>
        <v/>
      </c>
      <c r="U25" t="inlineStr">
        <is>
          <t>M10403196</t>
        </is>
      </c>
      <c r="V25">
        <f>P25*R25</f>
        <v/>
      </c>
      <c r="W25">
        <f>Q25*V25</f>
        <v/>
      </c>
      <c r="X25" t="n">
        <v>730</v>
      </c>
      <c r="Y25" t="inlineStr">
        <is>
          <t>(M)2025-08-22
(E)2027-08-21</t>
        </is>
      </c>
      <c r="Z25" t="inlineStr">
        <is>
          <t>MPO_0812</t>
        </is>
      </c>
      <c r="AC25" t="inlineStr">
        <is>
          <t>DD/MM/YY</t>
        </is>
      </c>
    </row>
    <row r="26">
      <c r="A26" t="inlineStr">
        <is>
          <t>一般</t>
        </is>
      </c>
      <c r="B26" t="inlineStr">
        <is>
          <t>瑪氏</t>
        </is>
      </c>
      <c r="C26" t="inlineStr">
        <is>
          <t>13000000448801</t>
        </is>
      </c>
      <c r="D26" t="inlineStr">
        <is>
          <t>TAO1</t>
        </is>
      </c>
      <c r="E26" t="inlineStr">
        <is>
          <t>桃園市大園區建國路102號4樓 B棟(倉儲棟)</t>
        </is>
      </c>
      <c r="F26" s="3" t="n">
        <v>46256</v>
      </c>
      <c r="G26" t="n">
        <v>25</v>
      </c>
      <c r="H26" t="inlineStr">
        <is>
          <t>522244895791654</t>
        </is>
      </c>
      <c r="I26" t="inlineStr">
        <is>
          <t>16914973706368</t>
        </is>
      </c>
      <c r="J26" t="inlineStr">
        <is>
          <t>M10403201</t>
        </is>
      </c>
      <c r="K26" t="inlineStr">
        <is>
          <t>Sheba 希寶</t>
        </is>
      </c>
      <c r="L26" t="inlineStr">
        <is>
          <t>[箱裝]Sheba 希寶 主食貓罐頭, 雞肉慕斯佐牛肝, 70g, 24罐</t>
        </is>
      </c>
      <c r="M26" t="n">
        <v>20</v>
      </c>
      <c r="N26" t="n">
        <v>20</v>
      </c>
      <c r="O26" t="inlineStr">
        <is>
          <t>箱</t>
        </is>
      </c>
      <c r="P26" t="n">
        <v>1</v>
      </c>
      <c r="Q26">
        <f>N26/P26</f>
        <v/>
      </c>
      <c r="R26" s="1" t="n">
        <v>635</v>
      </c>
      <c r="S26" s="1" t="n">
        <v>635</v>
      </c>
      <c r="T26">
        <f>IF(R26=S26,"相符","不相符")</f>
        <v/>
      </c>
      <c r="U26" t="inlineStr">
        <is>
          <t>M10403201</t>
        </is>
      </c>
      <c r="V26">
        <f>P26*R26</f>
        <v/>
      </c>
      <c r="W26">
        <f>Q26*V26</f>
        <v/>
      </c>
      <c r="X26" t="n">
        <v>730</v>
      </c>
      <c r="Y26" t="inlineStr">
        <is>
          <t>(M)2025-08-22
(E)2027-08-21</t>
        </is>
      </c>
      <c r="Z26" t="inlineStr">
        <is>
          <t>MPO_0812</t>
        </is>
      </c>
      <c r="AC26" t="inlineStr">
        <is>
          <t>DD/MM/YY</t>
        </is>
      </c>
    </row>
    <row r="27">
      <c r="A27" t="inlineStr">
        <is>
          <t>一般</t>
        </is>
      </c>
      <c r="B27" t="inlineStr">
        <is>
          <t>瑪氏</t>
        </is>
      </c>
      <c r="C27" t="inlineStr">
        <is>
          <t>13000000448801</t>
        </is>
      </c>
      <c r="D27" t="inlineStr">
        <is>
          <t>TAO1</t>
        </is>
      </c>
      <c r="E27" t="inlineStr">
        <is>
          <t>桃園市大園區建國路102號4樓 B棟(倉儲棟)</t>
        </is>
      </c>
      <c r="F27" s="3" t="n">
        <v>46256</v>
      </c>
      <c r="G27" t="n">
        <v>26</v>
      </c>
      <c r="H27" t="inlineStr">
        <is>
          <t>522244895791655</t>
        </is>
      </c>
      <c r="I27" t="inlineStr">
        <is>
          <t>16914973706351</t>
        </is>
      </c>
      <c r="J27" t="inlineStr">
        <is>
          <t>M10403198</t>
        </is>
      </c>
      <c r="K27" t="inlineStr">
        <is>
          <t>Sheba 希寶</t>
        </is>
      </c>
      <c r="L27" t="inlineStr">
        <is>
          <t>[箱裝]Sheba 希寶 主食貓罐頭, 雞肉慕斯佐羊心, 70g, 24罐</t>
        </is>
      </c>
      <c r="M27" t="n">
        <v>60</v>
      </c>
      <c r="N27" t="n">
        <v>60</v>
      </c>
      <c r="O27" t="inlineStr">
        <is>
          <t>箱</t>
        </is>
      </c>
      <c r="P27" t="n">
        <v>1</v>
      </c>
      <c r="Q27">
        <f>N27/P27</f>
        <v/>
      </c>
      <c r="R27" s="1" t="n">
        <v>635</v>
      </c>
      <c r="S27" s="1" t="n">
        <v>635</v>
      </c>
      <c r="T27">
        <f>IF(R27=S27,"相符","不相符")</f>
        <v/>
      </c>
      <c r="U27" t="inlineStr">
        <is>
          <t>M10403198</t>
        </is>
      </c>
      <c r="V27">
        <f>P27*R27</f>
        <v/>
      </c>
      <c r="W27">
        <f>Q27*V27</f>
        <v/>
      </c>
      <c r="X27" t="n">
        <v>730</v>
      </c>
      <c r="Y27" t="inlineStr">
        <is>
          <t>(M)2025-08-22
(E)2027-08-21</t>
        </is>
      </c>
      <c r="Z27" t="inlineStr">
        <is>
          <t>MPO_0812</t>
        </is>
      </c>
      <c r="AC27" t="inlineStr">
        <is>
          <t>DD/MM/YY</t>
        </is>
      </c>
    </row>
    <row r="28">
      <c r="A28" t="inlineStr">
        <is>
          <t>一般</t>
        </is>
      </c>
      <c r="B28" t="inlineStr">
        <is>
          <t>瑪氏</t>
        </is>
      </c>
      <c r="C28" t="inlineStr">
        <is>
          <t>13000000448801</t>
        </is>
      </c>
      <c r="D28" t="inlineStr">
        <is>
          <t>TAO1</t>
        </is>
      </c>
      <c r="E28" t="inlineStr">
        <is>
          <t>桃園市大園區建國路102號4樓 B棟(倉儲棟)</t>
        </is>
      </c>
      <c r="F28" s="3" t="n">
        <v>46256</v>
      </c>
      <c r="G28" t="n">
        <v>27</v>
      </c>
      <c r="H28" t="inlineStr">
        <is>
          <t>522244896002234</t>
        </is>
      </c>
      <c r="I28" t="inlineStr">
        <is>
          <t>18853301011676</t>
        </is>
      </c>
      <c r="J28" t="inlineStr">
        <is>
          <t>M60003467</t>
        </is>
      </c>
      <c r="K28" t="inlineStr">
        <is>
          <t>Temptations 喵愛餡</t>
        </is>
      </c>
      <c r="L28" t="inlineStr">
        <is>
          <t>[箱裝] Temptations 喵愛餡 三重奏 貓點心, 貓薄荷 + 嫩雞 + 起司, 160g, 10包, 1箱</t>
        </is>
      </c>
      <c r="M28" t="n">
        <v>40</v>
      </c>
      <c r="N28" t="n">
        <v>40</v>
      </c>
      <c r="O28" t="inlineStr">
        <is>
          <t>盒</t>
        </is>
      </c>
      <c r="P28" t="n">
        <v>4</v>
      </c>
      <c r="Q28">
        <f>N28/P28</f>
        <v/>
      </c>
      <c r="R28" s="1" t="n">
        <v>1170</v>
      </c>
      <c r="S28" s="1" t="n">
        <v>1170</v>
      </c>
      <c r="T28">
        <f>IF(R28=S28,"相符","不相符")</f>
        <v/>
      </c>
      <c r="U28" t="inlineStr">
        <is>
          <t>M60003467</t>
        </is>
      </c>
      <c r="V28">
        <f>P28*R28</f>
        <v/>
      </c>
      <c r="W28">
        <f>Q28*V28</f>
        <v/>
      </c>
      <c r="X28" t="n">
        <v>540</v>
      </c>
      <c r="Y28" t="inlineStr">
        <is>
          <t>(M)2025-11-23
(E)2027-05-21</t>
        </is>
      </c>
      <c r="Z28" t="inlineStr">
        <is>
          <t>MPO_0812</t>
        </is>
      </c>
      <c r="AC28" t="inlineStr">
        <is>
          <t>DD/MM/YY</t>
        </is>
      </c>
    </row>
    <row r="29">
      <c r="A29" t="inlineStr">
        <is>
          <t>一般</t>
        </is>
      </c>
      <c r="B29" t="inlineStr">
        <is>
          <t>瑪氏</t>
        </is>
      </c>
      <c r="C29" t="inlineStr">
        <is>
          <t>13000000448801</t>
        </is>
      </c>
      <c r="D29" t="inlineStr">
        <is>
          <t>TAO1</t>
        </is>
      </c>
      <c r="E29" t="inlineStr">
        <is>
          <t>桃園市大園區建國路102號4樓 B棟(倉儲棟)</t>
        </is>
      </c>
      <c r="F29" s="3" t="n">
        <v>46256</v>
      </c>
      <c r="G29" t="n">
        <v>28</v>
      </c>
      <c r="H29" t="inlineStr">
        <is>
          <t>522244896300377</t>
        </is>
      </c>
      <c r="I29" t="inlineStr">
        <is>
          <t>8853301001601</t>
        </is>
      </c>
      <c r="J29" t="inlineStr">
        <is>
          <t>M60024930</t>
        </is>
      </c>
      <c r="K29" t="inlineStr">
        <is>
          <t>Temptations 喵愛餡</t>
        </is>
      </c>
      <c r="L29" t="inlineStr">
        <is>
          <t>Temptations 喵愛餡 貓點心, 160g, 香誘鮮鮪口味, 1個</t>
        </is>
      </c>
      <c r="M29" t="n">
        <v>60</v>
      </c>
      <c r="N29" t="n">
        <v>60</v>
      </c>
      <c r="O29" t="inlineStr">
        <is>
          <t>包</t>
        </is>
      </c>
      <c r="P29" t="n">
        <v>40</v>
      </c>
      <c r="Q29">
        <f>N29/P29</f>
        <v/>
      </c>
      <c r="R29" s="1" t="n">
        <v>118.2</v>
      </c>
      <c r="S29" s="1" t="n">
        <v>118</v>
      </c>
      <c r="T29">
        <f>IF(R29=S29,"相符","不相符")</f>
        <v/>
      </c>
      <c r="U29" t="inlineStr">
        <is>
          <t>M60024930</t>
        </is>
      </c>
      <c r="V29">
        <f>P29*R29</f>
        <v/>
      </c>
      <c r="W29">
        <f>Q29*V29</f>
        <v/>
      </c>
      <c r="X29" t="n">
        <v>540</v>
      </c>
      <c r="Y29" t="inlineStr">
        <is>
          <t>(M)2025-11-23
(E)2027-05-21</t>
        </is>
      </c>
      <c r="Z29" t="inlineStr">
        <is>
          <t>MPO_0812</t>
        </is>
      </c>
      <c r="AC29" t="inlineStr">
        <is>
          <t>DD/MM/YY</t>
        </is>
      </c>
    </row>
    <row r="30">
      <c r="A30" t="inlineStr">
        <is>
          <t>一般</t>
        </is>
      </c>
      <c r="B30" t="inlineStr">
        <is>
          <t>瑪氏</t>
        </is>
      </c>
      <c r="C30" t="inlineStr">
        <is>
          <t>13000000448801</t>
        </is>
      </c>
      <c r="D30" t="inlineStr">
        <is>
          <t>TAO1</t>
        </is>
      </c>
      <c r="E30" t="inlineStr">
        <is>
          <t>桃園市大園區建國路102號4樓 B棟(倉儲棟)</t>
        </is>
      </c>
      <c r="F30" s="3" t="n">
        <v>46256</v>
      </c>
      <c r="G30" t="n">
        <v>29</v>
      </c>
      <c r="H30" t="inlineStr">
        <is>
          <t>522244896319127</t>
        </is>
      </c>
      <c r="I30" t="inlineStr">
        <is>
          <t>4714686202196</t>
        </is>
      </c>
      <c r="J30" t="inlineStr">
        <is>
          <t>M60023675</t>
        </is>
      </c>
      <c r="K30" t="inlineStr">
        <is>
          <t>Cesar 西莎</t>
        </is>
      </c>
      <c r="L30" t="inlineStr">
        <is>
          <t>Cesar 西莎 真饌燉肉餐盒6件組 綜合口味, 600g, 起司野菜牛 + 野菜嫩雞 + 野菜牛 + 野菜牛拌麵, 1套</t>
        </is>
      </c>
      <c r="M30" t="n">
        <v>100</v>
      </c>
      <c r="N30" t="n">
        <v>100</v>
      </c>
      <c r="O30" t="inlineStr">
        <is>
          <t>包</t>
        </is>
      </c>
      <c r="P30" t="n">
        <v>12</v>
      </c>
      <c r="Q30">
        <f>N30/P30</f>
        <v/>
      </c>
      <c r="R30" s="1" t="n">
        <v>141.33</v>
      </c>
      <c r="S30" s="1" t="n">
        <v>141.16</v>
      </c>
      <c r="T30">
        <f>IF(R30=S30,"相符","不相符")</f>
        <v/>
      </c>
      <c r="U30" t="inlineStr">
        <is>
          <t>M60023675</t>
        </is>
      </c>
      <c r="V30">
        <f>P30*R30</f>
        <v/>
      </c>
      <c r="W30">
        <f>Q30*V30</f>
        <v/>
      </c>
      <c r="X30" t="n">
        <v>730</v>
      </c>
      <c r="Y30" t="inlineStr">
        <is>
          <t>(M)-
(E)2027-02-20</t>
        </is>
      </c>
      <c r="Z30" t="inlineStr">
        <is>
          <t>MPO_0812</t>
        </is>
      </c>
      <c r="AC30" t="inlineStr">
        <is>
          <t>DD/MM/YY</t>
        </is>
      </c>
    </row>
    <row r="31">
      <c r="A31" t="inlineStr">
        <is>
          <t>一般</t>
        </is>
      </c>
      <c r="B31" t="inlineStr">
        <is>
          <t>瑪氏</t>
        </is>
      </c>
      <c r="C31" t="inlineStr">
        <is>
          <t>13000000448759</t>
        </is>
      </c>
      <c r="D31" t="inlineStr">
        <is>
          <t>TAO6</t>
        </is>
      </c>
      <c r="E31" t="inlineStr">
        <is>
          <t>桃園市大園區航翔路115號5樓</t>
        </is>
      </c>
      <c r="F31" s="3" t="n">
        <v>46253</v>
      </c>
      <c r="G31" t="n">
        <v>1</v>
      </c>
      <c r="H31" t="inlineStr">
        <is>
          <t>153706884481024</t>
        </is>
      </c>
      <c r="I31" t="inlineStr">
        <is>
          <t>14714686003530</t>
        </is>
      </c>
      <c r="J31" t="inlineStr">
        <is>
          <t>M10281171</t>
        </is>
      </c>
      <c r="K31" t="inlineStr">
        <is>
          <t>whiskas 偉嘉</t>
        </is>
      </c>
      <c r="L31" t="inlineStr">
        <is>
          <t>[箱裝]whiskas 偉嘉 貓食濕糧 罐頭, 海洋鮮魚餐, 185g, 24罐, 1箱</t>
        </is>
      </c>
      <c r="M31" t="n">
        <v>20</v>
      </c>
      <c r="N31" t="n">
        <v>20</v>
      </c>
      <c r="O31" t="inlineStr">
        <is>
          <t>箱</t>
        </is>
      </c>
      <c r="P31" t="n">
        <v>1</v>
      </c>
      <c r="Q31">
        <f>N31/P31</f>
        <v/>
      </c>
      <c r="R31" s="1" t="n">
        <v>584</v>
      </c>
      <c r="S31" s="1" t="n">
        <v>584</v>
      </c>
      <c r="T31">
        <f>IF(R31=S31,"相符","不相符")</f>
        <v/>
      </c>
      <c r="U31" t="inlineStr">
        <is>
          <t>M10281171</t>
        </is>
      </c>
      <c r="V31">
        <f>P31*R31</f>
        <v/>
      </c>
      <c r="W31">
        <f>Q31*V31</f>
        <v/>
      </c>
      <c r="X31" t="n">
        <v>730</v>
      </c>
      <c r="Y31" t="inlineStr">
        <is>
          <t>(M)-
(E)2027-08-18</t>
        </is>
      </c>
      <c r="Z31" t="inlineStr">
        <is>
          <t>MPO_0812</t>
        </is>
      </c>
      <c r="AC31" t="inlineStr">
        <is>
          <t>DD/MM/YY</t>
        </is>
      </c>
    </row>
    <row r="32">
      <c r="A32" t="inlineStr">
        <is>
          <t>一般</t>
        </is>
      </c>
      <c r="B32" t="inlineStr">
        <is>
          <t>瑪氏</t>
        </is>
      </c>
      <c r="C32" t="inlineStr">
        <is>
          <t>13000000448759</t>
        </is>
      </c>
      <c r="D32" t="inlineStr">
        <is>
          <t>TAO6</t>
        </is>
      </c>
      <c r="E32" t="inlineStr">
        <is>
          <t>桃園市大園區航翔路115號5樓</t>
        </is>
      </c>
      <c r="F32" s="3" t="n">
        <v>46253</v>
      </c>
      <c r="G32" t="n">
        <v>2</v>
      </c>
      <c r="H32" t="inlineStr">
        <is>
          <t>154360315068420</t>
        </is>
      </c>
      <c r="I32" t="inlineStr">
        <is>
          <t>19310022725804</t>
        </is>
      </c>
      <c r="J32" t="inlineStr">
        <is>
          <t>M10281613</t>
        </is>
      </c>
      <c r="K32" t="inlineStr">
        <is>
          <t>Pedigree 寶路</t>
        </is>
      </c>
      <c r="L32" t="inlineStr">
        <is>
          <t>[箱裝] Pedigree 寶路 成犬罐頭,牛肉 ,400g, 24罐</t>
        </is>
      </c>
      <c r="M32" t="n">
        <v>110</v>
      </c>
      <c r="N32" t="n">
        <v>110</v>
      </c>
      <c r="O32" t="inlineStr">
        <is>
          <t>箱</t>
        </is>
      </c>
      <c r="P32" t="n">
        <v>1</v>
      </c>
      <c r="Q32">
        <f>N32/P32</f>
        <v/>
      </c>
      <c r="R32" s="1" t="n">
        <v>960</v>
      </c>
      <c r="S32" s="1" t="n">
        <v>960</v>
      </c>
      <c r="T32">
        <f>IF(R32=S32,"相符","不相符")</f>
        <v/>
      </c>
      <c r="U32" t="inlineStr">
        <is>
          <t>M10205197-1</t>
        </is>
      </c>
      <c r="V32">
        <f>P32*R32</f>
        <v/>
      </c>
      <c r="W32">
        <f>Q32*V32</f>
        <v/>
      </c>
      <c r="X32" t="n">
        <v>730</v>
      </c>
      <c r="Y32" t="inlineStr">
        <is>
          <t>(M)-
(E)2027-08-18</t>
        </is>
      </c>
      <c r="Z32" t="inlineStr">
        <is>
          <t>MPO_0812</t>
        </is>
      </c>
      <c r="AC32" t="inlineStr">
        <is>
          <t>DD/MM/YY</t>
        </is>
      </c>
    </row>
    <row r="33">
      <c r="A33" t="inlineStr">
        <is>
          <t>一般</t>
        </is>
      </c>
      <c r="B33" t="inlineStr">
        <is>
          <t>瑪氏</t>
        </is>
      </c>
      <c r="C33" t="inlineStr">
        <is>
          <t>13000000448759</t>
        </is>
      </c>
      <c r="D33" t="inlineStr">
        <is>
          <t>TAO6</t>
        </is>
      </c>
      <c r="E33" t="inlineStr">
        <is>
          <t>桃園市大園區航翔路115號5樓</t>
        </is>
      </c>
      <c r="F33" s="3" t="n">
        <v>46253</v>
      </c>
      <c r="G33" t="n">
        <v>3</v>
      </c>
      <c r="H33" t="inlineStr">
        <is>
          <t>154361103613956</t>
        </is>
      </c>
      <c r="I33" t="inlineStr">
        <is>
          <t>19310022725705</t>
        </is>
      </c>
      <c r="J33" t="inlineStr">
        <is>
          <t>M10205199</t>
        </is>
      </c>
      <c r="K33" t="inlineStr">
        <is>
          <t>Pedigree 寶路</t>
        </is>
      </c>
      <c r="L33" t="inlineStr">
        <is>
          <t>[箱裝] Pedigree 寶路 成犬罐頭, 雞肉, 400g, 24罐</t>
        </is>
      </c>
      <c r="M33" t="n">
        <v>70</v>
      </c>
      <c r="N33" t="n">
        <v>70</v>
      </c>
      <c r="O33" t="inlineStr">
        <is>
          <t>箱</t>
        </is>
      </c>
      <c r="P33" t="n">
        <v>1</v>
      </c>
      <c r="Q33">
        <f>N33/P33</f>
        <v/>
      </c>
      <c r="R33" s="1" t="n">
        <v>960</v>
      </c>
      <c r="S33" s="1" t="n">
        <v>960</v>
      </c>
      <c r="T33">
        <f>IF(R33=S33,"相符","不相符")</f>
        <v/>
      </c>
      <c r="U33" t="inlineStr">
        <is>
          <t>M10205199-1</t>
        </is>
      </c>
      <c r="V33">
        <f>P33*R33</f>
        <v/>
      </c>
      <c r="W33">
        <f>Q33*V33</f>
        <v/>
      </c>
      <c r="X33" t="n">
        <v>730</v>
      </c>
      <c r="Y33" t="inlineStr">
        <is>
          <t>(M)-
(E)2027-08-18</t>
        </is>
      </c>
      <c r="Z33" t="inlineStr">
        <is>
          <t>MPO_0812</t>
        </is>
      </c>
      <c r="AC33" t="inlineStr">
        <is>
          <t>DD/MM/YY</t>
        </is>
      </c>
    </row>
    <row r="34">
      <c r="A34" t="inlineStr">
        <is>
          <t>一般</t>
        </is>
      </c>
      <c r="B34" t="inlineStr">
        <is>
          <t>瑪氏</t>
        </is>
      </c>
      <c r="C34" t="inlineStr">
        <is>
          <t>13000000448557</t>
        </is>
      </c>
      <c r="D34" t="inlineStr">
        <is>
          <t>TAO1</t>
        </is>
      </c>
      <c r="E34" t="inlineStr">
        <is>
          <t>桃園市大園區建國路102號4樓 B棟(倉儲棟)</t>
        </is>
      </c>
      <c r="F34" s="3" t="n">
        <v>46261</v>
      </c>
      <c r="G34" t="n">
        <v>1</v>
      </c>
      <c r="H34" t="inlineStr">
        <is>
          <t>122904213684244</t>
        </is>
      </c>
      <c r="I34" t="inlineStr">
        <is>
          <t>9310022866203</t>
        </is>
      </c>
      <c r="J34" t="inlineStr">
        <is>
          <t>M10273698</t>
        </is>
      </c>
      <c r="K34" t="inlineStr">
        <is>
          <t>whiskas 偉嘉</t>
        </is>
      </c>
      <c r="L34" t="inlineStr">
        <is>
          <t>whiskas 偉嘉 貓乾糧, 鮪魚(吞拿魚)總匯口味, 1歲以上成貓, 1.2kg, 1袋</t>
        </is>
      </c>
      <c r="M34" t="n">
        <v>73</v>
      </c>
      <c r="N34" t="n">
        <v>73</v>
      </c>
      <c r="O34" t="inlineStr">
        <is>
          <t>盒</t>
        </is>
      </c>
      <c r="P34" t="n">
        <v>6</v>
      </c>
      <c r="Q34">
        <f>N34/P34</f>
        <v/>
      </c>
      <c r="R34" s="1" t="n">
        <v>129</v>
      </c>
      <c r="S34" s="1" t="n">
        <v>129</v>
      </c>
      <c r="T34">
        <f>IF(R34=S34,"相符","不相符")</f>
        <v/>
      </c>
      <c r="U34" t="inlineStr">
        <is>
          <t>M10240887</t>
        </is>
      </c>
      <c r="V34">
        <f>P34*R34</f>
        <v/>
      </c>
      <c r="W34">
        <f>Q34*V34</f>
        <v/>
      </c>
      <c r="X34" t="n">
        <v>540</v>
      </c>
      <c r="Y34" t="inlineStr">
        <is>
          <t>(M)-
(E)2027-05-23</t>
        </is>
      </c>
      <c r="Z34" t="inlineStr">
        <is>
          <t>MPO_AutoPO_TopUp_0812</t>
        </is>
      </c>
      <c r="AC34" t="inlineStr">
        <is>
          <t>DD/MM/YY</t>
        </is>
      </c>
    </row>
    <row r="35">
      <c r="A35" t="inlineStr">
        <is>
          <t>一般</t>
        </is>
      </c>
      <c r="B35" t="inlineStr">
        <is>
          <t>瑪氏</t>
        </is>
      </c>
      <c r="C35" t="inlineStr">
        <is>
          <t>13000000448557</t>
        </is>
      </c>
      <c r="D35" t="inlineStr">
        <is>
          <t>TAO1</t>
        </is>
      </c>
      <c r="E35" t="inlineStr">
        <is>
          <t>桃園市大園區建國路102號4樓 B棟(倉儲棟)</t>
        </is>
      </c>
      <c r="F35" s="3" t="n">
        <v>46261</v>
      </c>
      <c r="G35" t="n">
        <v>2</v>
      </c>
      <c r="H35" t="inlineStr">
        <is>
          <t>153740690538507</t>
        </is>
      </c>
      <c r="I35" t="inlineStr">
        <is>
          <t>4902397839293</t>
        </is>
      </c>
      <c r="J35" t="inlineStr">
        <is>
          <t>M60002180</t>
        </is>
      </c>
      <c r="K35" t="inlineStr">
        <is>
          <t>Cesar 西莎</t>
        </is>
      </c>
      <c r="L35" t="inlineStr">
        <is>
          <t>[組出] Cesar 西莎 14歲以上成犬 蒸鮮包, 特細切雞肉及蔬菜, 70g, 16包</t>
        </is>
      </c>
      <c r="M35" t="n">
        <v>59</v>
      </c>
      <c r="N35" t="n">
        <v>59</v>
      </c>
      <c r="O35" t="inlineStr">
        <is>
          <t>盒</t>
        </is>
      </c>
      <c r="P35" t="n">
        <v>10</v>
      </c>
      <c r="Q35">
        <f>N35/P35</f>
        <v/>
      </c>
      <c r="R35" s="1" t="n">
        <v>277</v>
      </c>
      <c r="S35" s="1" t="n">
        <v>277</v>
      </c>
      <c r="T35">
        <f>IF(R35=S35,"相符","不相符")</f>
        <v/>
      </c>
      <c r="U35" t="inlineStr">
        <is>
          <t>M10243522</t>
        </is>
      </c>
      <c r="V35">
        <f>P35*R35</f>
        <v/>
      </c>
      <c r="W35">
        <f>Q35*V35</f>
        <v/>
      </c>
      <c r="X35" t="n">
        <v>730</v>
      </c>
      <c r="Y35" t="inlineStr">
        <is>
          <t>(M)-
(E)2027-08-21</t>
        </is>
      </c>
      <c r="Z35" t="inlineStr">
        <is>
          <t>MPO_AutoPO_TopUp_0812</t>
        </is>
      </c>
      <c r="AC35" t="inlineStr">
        <is>
          <t>YY/MM/DD</t>
        </is>
      </c>
    </row>
    <row r="36">
      <c r="A36" t="inlineStr">
        <is>
          <t>一般</t>
        </is>
      </c>
      <c r="B36" t="inlineStr">
        <is>
          <t>瑪氏</t>
        </is>
      </c>
      <c r="C36" t="inlineStr">
        <is>
          <t>13000000448546</t>
        </is>
      </c>
      <c r="D36" t="inlineStr">
        <is>
          <t>TPH1</t>
        </is>
      </c>
      <c r="E36" t="inlineStr">
        <is>
          <t>新北市瑞芳區楓子瀨路1巷8號</t>
        </is>
      </c>
      <c r="F36" s="3" t="n">
        <v>46262</v>
      </c>
      <c r="G36" t="n">
        <v>1</v>
      </c>
      <c r="H36" t="inlineStr">
        <is>
          <t>153743853076481</t>
        </is>
      </c>
      <c r="I36" t="inlineStr">
        <is>
          <t>8853301400145</t>
        </is>
      </c>
      <c r="J36" t="inlineStr">
        <is>
          <t>M10273709</t>
        </is>
      </c>
      <c r="K36" t="inlineStr">
        <is>
          <t>whiskas 偉嘉</t>
        </is>
      </c>
      <c r="L36" t="inlineStr">
        <is>
          <t>whiskas 偉嘉 成貓 乾飼料, 海洋魚類口味, 1歲以上成貓, 7kg, 1袋</t>
        </is>
      </c>
      <c r="M36" t="n">
        <v>13</v>
      </c>
      <c r="N36" t="n">
        <v>13</v>
      </c>
      <c r="O36" t="inlineStr">
        <is>
          <t>箱</t>
        </is>
      </c>
      <c r="P36" t="n">
        <v>1</v>
      </c>
      <c r="Q36">
        <f>N36/P36</f>
        <v/>
      </c>
      <c r="R36" s="1" t="n">
        <v>561</v>
      </c>
      <c r="S36" s="1" t="n">
        <v>561</v>
      </c>
      <c r="T36">
        <f>IF(R36=S36,"相符","不相符")</f>
        <v/>
      </c>
      <c r="U36" t="inlineStr">
        <is>
          <t>M10273709</t>
        </is>
      </c>
      <c r="V36">
        <f>P36*R36</f>
        <v/>
      </c>
      <c r="W36">
        <f>Q36*V36</f>
        <v/>
      </c>
      <c r="X36" t="n">
        <v>540</v>
      </c>
      <c r="Y36" t="inlineStr">
        <is>
          <t>(M)-
(E)2027-05-24</t>
        </is>
      </c>
      <c r="Z36" t="inlineStr">
        <is>
          <t>MPO_AutoPO_TopUp_0812</t>
        </is>
      </c>
      <c r="AC36" t="inlineStr">
        <is>
          <t>DD/MM/YY</t>
        </is>
      </c>
    </row>
    <row r="37">
      <c r="A37" t="inlineStr">
        <is>
          <t>一般</t>
        </is>
      </c>
      <c r="B37" t="inlineStr">
        <is>
          <t>寶僑</t>
        </is>
      </c>
      <c r="C37" t="inlineStr">
        <is>
          <t>13000000448516</t>
        </is>
      </c>
      <c r="D37" t="inlineStr">
        <is>
          <t>TAO5</t>
        </is>
      </c>
      <c r="E37" t="inlineStr">
        <is>
          <t>桃園市觀音區寶倉街108號5樓</t>
        </is>
      </c>
      <c r="F37" s="3" t="n">
        <v>46257</v>
      </c>
      <c r="G37" t="n">
        <v>1</v>
      </c>
      <c r="H37" t="inlineStr">
        <is>
          <t>253728745553922</t>
        </is>
      </c>
      <c r="I37" t="inlineStr">
        <is>
          <t>4902430826846</t>
        </is>
      </c>
      <c r="J37" t="inlineStr">
        <is>
          <t>4902430826846</t>
        </is>
      </c>
      <c r="K37" t="inlineStr">
        <is>
          <t>Oral-B 歐樂B</t>
        </is>
      </c>
      <c r="L37" t="inlineStr">
        <is>
          <t>Oral-B 歐樂B 抗敏護齦牙膏 極速抗敏, 海洋薄荷, 90g, 1條</t>
        </is>
      </c>
      <c r="M37" t="n">
        <v>888</v>
      </c>
      <c r="N37" t="n">
        <v>888</v>
      </c>
      <c r="O37" t="inlineStr">
        <is>
          <t>個</t>
        </is>
      </c>
      <c r="P37" t="n">
        <v>12</v>
      </c>
      <c r="Q37">
        <f>N37/P37</f>
        <v/>
      </c>
      <c r="R37" s="1" t="n">
        <v>99</v>
      </c>
      <c r="S37" s="1" t="n">
        <v>99</v>
      </c>
      <c r="T37">
        <f>IF(R37=S37,"相符","不相符")</f>
        <v/>
      </c>
      <c r="V37">
        <f>P37*R37</f>
        <v/>
      </c>
      <c r="W37">
        <f>Q37*V37</f>
        <v/>
      </c>
      <c r="X37" t="n">
        <v>1095</v>
      </c>
      <c r="Y37" t="inlineStr">
        <is>
          <t>(M)-
(E)2028-02-21</t>
        </is>
      </c>
      <c r="Z37" t="inlineStr">
        <is>
          <t>MPO_260812_P&amp;G</t>
        </is>
      </c>
      <c r="AC37" t="inlineStr">
        <is>
          <t>YY/MM/DD</t>
        </is>
      </c>
    </row>
    <row r="38">
      <c r="A38" t="inlineStr">
        <is>
          <t>一般</t>
        </is>
      </c>
      <c r="B38" t="inlineStr">
        <is>
          <t>寶僑</t>
        </is>
      </c>
      <c r="C38" t="inlineStr">
        <is>
          <t>13000000448516</t>
        </is>
      </c>
      <c r="D38" t="inlineStr">
        <is>
          <t>TAO5</t>
        </is>
      </c>
      <c r="E38" t="inlineStr">
        <is>
          <t>桃園市觀音區寶倉街108號5樓</t>
        </is>
      </c>
      <c r="F38" s="3" t="n">
        <v>46257</v>
      </c>
      <c r="G38" t="n">
        <v>2</v>
      </c>
      <c r="H38" t="inlineStr">
        <is>
          <t>522244896175851</t>
        </is>
      </c>
      <c r="I38" t="inlineStr">
        <is>
          <t>4987176340856</t>
        </is>
      </c>
      <c r="J38" t="inlineStr">
        <is>
          <t>4987176340856</t>
        </is>
      </c>
      <c r="K38" t="inlineStr">
        <is>
          <t>ARIEL</t>
        </is>
      </c>
      <c r="L38" t="inlineStr">
        <is>
          <t>ARIEL 原廠公司貨 抗菌洗衣精補充包 室內晾衣型, 1690g, 1個</t>
        </is>
      </c>
      <c r="M38" t="n">
        <v>6000</v>
      </c>
      <c r="N38" t="n">
        <v>6000</v>
      </c>
      <c r="O38" t="inlineStr">
        <is>
          <t>包</t>
        </is>
      </c>
      <c r="P38" t="n">
        <v>6</v>
      </c>
      <c r="Q38">
        <f>N38/P38</f>
        <v/>
      </c>
      <c r="R38" s="1" t="n">
        <v>193</v>
      </c>
      <c r="S38" s="1" t="n">
        <v>193</v>
      </c>
      <c r="T38">
        <f>IF(R38=S38,"相符","不相符")</f>
        <v/>
      </c>
      <c r="V38">
        <f>P38*R38</f>
        <v/>
      </c>
      <c r="W38">
        <f>Q38*V38</f>
        <v/>
      </c>
      <c r="X38" t="n">
        <v>730</v>
      </c>
      <c r="Y38" t="inlineStr">
        <is>
          <t>(M)2025-08-23
(E)2027-08-22</t>
        </is>
      </c>
      <c r="Z38" t="inlineStr">
        <is>
          <t>MPO_260812_P&amp;G</t>
        </is>
      </c>
      <c r="AC38" t="inlineStr">
        <is>
          <t>YY/MM/DD</t>
        </is>
      </c>
    </row>
    <row r="39">
      <c r="A39" t="inlineStr">
        <is>
          <t>一般</t>
        </is>
      </c>
      <c r="B39" t="inlineStr">
        <is>
          <t>寶僑</t>
        </is>
      </c>
      <c r="C39" t="inlineStr">
        <is>
          <t>13000000448516</t>
        </is>
      </c>
      <c r="D39" t="inlineStr">
        <is>
          <t>TAO5</t>
        </is>
      </c>
      <c r="E39" t="inlineStr">
        <is>
          <t>桃園市觀音區寶倉街108號5樓</t>
        </is>
      </c>
      <c r="F39" s="3" t="n">
        <v>46257</v>
      </c>
      <c r="G39" t="n">
        <v>3</v>
      </c>
      <c r="H39" t="inlineStr">
        <is>
          <t>522244896175857</t>
        </is>
      </c>
      <c r="I39" t="inlineStr">
        <is>
          <t>4987176340870</t>
        </is>
      </c>
      <c r="J39" t="inlineStr">
        <is>
          <t>4987176340870</t>
        </is>
      </c>
      <c r="K39" t="inlineStr">
        <is>
          <t>ARIEL</t>
        </is>
      </c>
      <c r="L39" t="inlineStr">
        <is>
          <t>ARIEL 原廠公司貨 抗菌洗衣精補充包 高效除蟎, 1690g, 1個</t>
        </is>
      </c>
      <c r="M39" t="n">
        <v>72</v>
      </c>
      <c r="N39" t="n">
        <v>72</v>
      </c>
      <c r="O39" t="inlineStr">
        <is>
          <t>包</t>
        </is>
      </c>
      <c r="P39" t="n">
        <v>6</v>
      </c>
      <c r="Q39">
        <f>N39/P39</f>
        <v/>
      </c>
      <c r="R39" s="1" t="n">
        <v>193</v>
      </c>
      <c r="S39" s="1" t="n">
        <v>193</v>
      </c>
      <c r="T39">
        <f>IF(R39=S39,"相符","不相符")</f>
        <v/>
      </c>
      <c r="V39">
        <f>P39*R39</f>
        <v/>
      </c>
      <c r="W39">
        <f>Q39*V39</f>
        <v/>
      </c>
      <c r="X39" t="n">
        <v>730</v>
      </c>
      <c r="Y39" t="inlineStr">
        <is>
          <t>(M)2025-08-23
(E)2027-08-22</t>
        </is>
      </c>
      <c r="Z39" t="inlineStr">
        <is>
          <t>MPO_260812_P&amp;G</t>
        </is>
      </c>
      <c r="AC39" t="inlineStr">
        <is>
          <t>YY/MM/DD</t>
        </is>
      </c>
    </row>
    <row r="40">
      <c r="A40" t="inlineStr">
        <is>
          <t>一般</t>
        </is>
      </c>
      <c r="B40" t="inlineStr">
        <is>
          <t>寶僑</t>
        </is>
      </c>
      <c r="C40" t="inlineStr">
        <is>
          <t>13000000448516</t>
        </is>
      </c>
      <c r="D40" t="inlineStr">
        <is>
          <t>TAO5</t>
        </is>
      </c>
      <c r="E40" t="inlineStr">
        <is>
          <t>桃園市觀音區寶倉街108號5樓</t>
        </is>
      </c>
      <c r="F40" s="3" t="n">
        <v>46257</v>
      </c>
      <c r="G40" t="n">
        <v>4</v>
      </c>
      <c r="H40" t="inlineStr">
        <is>
          <t>522244896175860</t>
        </is>
      </c>
      <c r="I40" t="inlineStr">
        <is>
          <t>4987176337146</t>
        </is>
      </c>
      <c r="J40" t="inlineStr">
        <is>
          <t>4987176337146</t>
        </is>
      </c>
      <c r="K40" t="inlineStr">
        <is>
          <t>ARIEL</t>
        </is>
      </c>
      <c r="L40" t="inlineStr">
        <is>
          <t>ARIEL 原廠公司貨 4D抗菌洗衣膠囊補充包 自然微香型, 30個裝, 1套</t>
        </is>
      </c>
      <c r="M40" t="n">
        <v>110</v>
      </c>
      <c r="N40" t="n">
        <v>110</v>
      </c>
      <c r="O40" t="inlineStr">
        <is>
          <t>袋</t>
        </is>
      </c>
      <c r="P40" t="n">
        <v>10</v>
      </c>
      <c r="Q40">
        <f>N40/P40</f>
        <v/>
      </c>
      <c r="R40" s="1" t="n">
        <v>208</v>
      </c>
      <c r="S40" s="1" t="n">
        <v>208</v>
      </c>
      <c r="T40">
        <f>IF(R40=S40,"相符","不相符")</f>
        <v/>
      </c>
      <c r="V40">
        <f>P40*R40</f>
        <v/>
      </c>
      <c r="W40">
        <f>Q40*V40</f>
        <v/>
      </c>
      <c r="X40" t="n">
        <v>540</v>
      </c>
      <c r="Y40" t="inlineStr">
        <is>
          <t>(M)2025-11-24
(E)2027-05-22</t>
        </is>
      </c>
      <c r="Z40" t="inlineStr">
        <is>
          <t>MPO_260812_P&amp;G</t>
        </is>
      </c>
      <c r="AC40" t="inlineStr">
        <is>
          <t>YY/MM/DD</t>
        </is>
      </c>
    </row>
    <row r="41">
      <c r="A41" t="inlineStr">
        <is>
          <t>一般</t>
        </is>
      </c>
      <c r="B41" t="inlineStr">
        <is>
          <t>寶僑</t>
        </is>
      </c>
      <c r="C41" t="inlineStr">
        <is>
          <t>13000000448516</t>
        </is>
      </c>
      <c r="D41" t="inlineStr">
        <is>
          <t>TAO5</t>
        </is>
      </c>
      <c r="E41" t="inlineStr">
        <is>
          <t>桃園市觀音區寶倉街108號5樓</t>
        </is>
      </c>
      <c r="F41" s="3" t="n">
        <v>46257</v>
      </c>
      <c r="G41" t="n">
        <v>5</v>
      </c>
      <c r="H41" t="inlineStr">
        <is>
          <t>522244896293692</t>
        </is>
      </c>
      <c r="I41" t="inlineStr">
        <is>
          <t>4987176405289</t>
        </is>
      </c>
      <c r="J41" t="inlineStr">
        <is>
          <t>4987176405289</t>
        </is>
      </c>
      <c r="K41" t="inlineStr">
        <is>
          <t>ARIEL</t>
        </is>
      </c>
      <c r="L41" t="inlineStr">
        <is>
          <t>ARIEL 原廠公司貨 4D抗菌洗衣膠囊補充包 抗菌去漬型, 80個裝, 1套</t>
        </is>
      </c>
      <c r="M41" t="n">
        <v>1804</v>
      </c>
      <c r="N41" t="n">
        <v>1804</v>
      </c>
      <c r="O41" t="inlineStr">
        <is>
          <t>袋</t>
        </is>
      </c>
      <c r="P41" t="n">
        <v>4</v>
      </c>
      <c r="Q41">
        <f>N41/P41</f>
        <v/>
      </c>
      <c r="R41" s="1" t="n">
        <v>447</v>
      </c>
      <c r="S41" s="1" t="n">
        <v>447</v>
      </c>
      <c r="T41">
        <f>IF(R41=S41,"相符","不相符")</f>
        <v/>
      </c>
      <c r="V41">
        <f>P41*R41</f>
        <v/>
      </c>
      <c r="W41">
        <f>Q41*V41</f>
        <v/>
      </c>
      <c r="X41" t="n">
        <v>540</v>
      </c>
      <c r="Y41" t="inlineStr">
        <is>
          <t>(M)2025-11-24
(E)2027-05-22</t>
        </is>
      </c>
      <c r="Z41" t="inlineStr">
        <is>
          <t>MPO_260812_P&amp;G</t>
        </is>
      </c>
      <c r="AC41" t="inlineStr">
        <is>
          <t>YY/MM/DD</t>
        </is>
      </c>
    </row>
    <row r="42">
      <c r="A42" t="inlineStr">
        <is>
          <t>一般</t>
        </is>
      </c>
      <c r="B42" t="inlineStr">
        <is>
          <t>寶僑</t>
        </is>
      </c>
      <c r="C42" t="inlineStr">
        <is>
          <t>13000000448516</t>
        </is>
      </c>
      <c r="D42" t="inlineStr">
        <is>
          <t>TAO5</t>
        </is>
      </c>
      <c r="E42" t="inlineStr">
        <is>
          <t>桃園市觀音區寶倉街108號5樓</t>
        </is>
      </c>
      <c r="F42" s="3" t="n">
        <v>46257</v>
      </c>
      <c r="G42" t="n">
        <v>6</v>
      </c>
      <c r="H42" t="inlineStr">
        <is>
          <t>522244896317755</t>
        </is>
      </c>
      <c r="I42" t="inlineStr">
        <is>
          <t>4987176373861</t>
        </is>
      </c>
      <c r="J42" t="inlineStr">
        <is>
          <t>4987176373861</t>
        </is>
      </c>
      <c r="K42" t="inlineStr">
        <is>
          <t>Lenor 蘭諾</t>
        </is>
      </c>
      <c r="L42" t="inlineStr">
        <is>
          <t>Lenor 蘭諾 衣物芳香豆 清晨草木 補充包, 900ml, 1個</t>
        </is>
      </c>
      <c r="M42" t="n">
        <v>1328</v>
      </c>
      <c r="N42" t="n">
        <v>1328</v>
      </c>
      <c r="O42" t="inlineStr">
        <is>
          <t>包</t>
        </is>
      </c>
      <c r="P42" t="n">
        <v>8</v>
      </c>
      <c r="Q42">
        <f>N42/P42</f>
        <v/>
      </c>
      <c r="R42" s="1" t="n">
        <v>272</v>
      </c>
      <c r="S42" s="1" t="n">
        <v>272</v>
      </c>
      <c r="T42">
        <f>IF(R42=S42,"相符","不相符")</f>
        <v/>
      </c>
      <c r="V42">
        <f>P42*R42</f>
        <v/>
      </c>
      <c r="W42">
        <f>Q42*V42</f>
        <v/>
      </c>
      <c r="X42" t="n">
        <v>730</v>
      </c>
      <c r="Y42" t="inlineStr">
        <is>
          <t>(M)2025-08-23
(E)2027-08-22</t>
        </is>
      </c>
      <c r="Z42" t="inlineStr">
        <is>
          <t>MPO_260812_P&amp;G</t>
        </is>
      </c>
      <c r="AC42" t="inlineStr">
        <is>
          <t>YY/MM/DD</t>
        </is>
      </c>
    </row>
    <row r="43">
      <c r="A43" t="inlineStr">
        <is>
          <t>一般</t>
        </is>
      </c>
      <c r="B43" t="inlineStr">
        <is>
          <t>寶僑</t>
        </is>
      </c>
      <c r="C43" t="inlineStr">
        <is>
          <t>13000000448516</t>
        </is>
      </c>
      <c r="D43" t="inlineStr">
        <is>
          <t>TAO5</t>
        </is>
      </c>
      <c r="E43" t="inlineStr">
        <is>
          <t>桃園市觀音區寶倉街108號5樓</t>
        </is>
      </c>
      <c r="F43" s="3" t="n">
        <v>46257</v>
      </c>
      <c r="G43" t="n">
        <v>7</v>
      </c>
      <c r="H43" t="inlineStr">
        <is>
          <t>522244896404694</t>
        </is>
      </c>
      <c r="I43" t="inlineStr">
        <is>
          <t>4987176393326</t>
        </is>
      </c>
      <c r="J43" t="inlineStr">
        <is>
          <t>4987176393326</t>
        </is>
      </c>
      <c r="K43" t="inlineStr">
        <is>
          <t>Tide 汰漬</t>
        </is>
      </c>
      <c r="L43" t="inlineStr">
        <is>
          <t>Tide 汰漬 2倍超濃縮洗衣精, 3.69L, 1個</t>
        </is>
      </c>
      <c r="M43" t="n">
        <v>32</v>
      </c>
      <c r="N43" t="n">
        <v>32</v>
      </c>
      <c r="O43" t="inlineStr">
        <is>
          <t>瓶</t>
        </is>
      </c>
      <c r="P43" t="n">
        <v>4</v>
      </c>
      <c r="Q43">
        <f>N43/P43</f>
        <v/>
      </c>
      <c r="R43" s="1" t="n">
        <v>564</v>
      </c>
      <c r="S43" s="1" t="n">
        <v>564</v>
      </c>
      <c r="T43">
        <f>IF(R43=S43,"相符","不相符")</f>
        <v/>
      </c>
      <c r="V43">
        <f>P43*R43</f>
        <v/>
      </c>
      <c r="W43">
        <f>Q43*V43</f>
        <v/>
      </c>
      <c r="X43" t="n">
        <v>730</v>
      </c>
      <c r="Y43" t="inlineStr">
        <is>
          <t>(M)2025-08-23
(E)2027-08-22</t>
        </is>
      </c>
      <c r="Z43" t="inlineStr">
        <is>
          <t>MPO_260812_P&amp;G</t>
        </is>
      </c>
      <c r="AC43" t="inlineStr">
        <is>
          <t>YY/MM/DD</t>
        </is>
      </c>
    </row>
    <row r="44">
      <c r="A44" t="inlineStr">
        <is>
          <t>一般</t>
        </is>
      </c>
      <c r="B44" t="inlineStr">
        <is>
          <t>寶僑</t>
        </is>
      </c>
      <c r="C44" t="inlineStr">
        <is>
          <t>13000000448515</t>
        </is>
      </c>
      <c r="D44" t="inlineStr">
        <is>
          <t>TXRC29</t>
        </is>
      </c>
      <c r="E44" t="inlineStr">
        <is>
          <t>No. 16, Lane 230, Zhongzheng 3rd Road, Yingge District, New Taipei City</t>
        </is>
      </c>
      <c r="F44" s="3" t="n">
        <v>46257</v>
      </c>
      <c r="G44" t="n">
        <v>1</v>
      </c>
      <c r="H44" t="inlineStr">
        <is>
          <t>522244896166679</t>
        </is>
      </c>
      <c r="I44" t="inlineStr">
        <is>
          <t>14987176340907</t>
        </is>
      </c>
      <c r="J44" t="inlineStr">
        <is>
          <t>4987176340900</t>
        </is>
      </c>
      <c r="K44" t="inlineStr">
        <is>
          <t>ARIEL</t>
        </is>
      </c>
      <c r="L44" t="inlineStr">
        <is>
          <t>[箱裝][DS]ARIEL 台灣公司貨 超濃縮 新升級 抗菌洗衣精補充包, 抗菌去漬型, 1690g, 6包</t>
        </is>
      </c>
      <c r="M44" t="n">
        <v>36</v>
      </c>
      <c r="N44" t="n">
        <v>36</v>
      </c>
      <c r="O44" t="inlineStr">
        <is>
          <t>箱</t>
        </is>
      </c>
      <c r="P44" t="n">
        <v>1</v>
      </c>
      <c r="Q44">
        <f>N44/P44</f>
        <v/>
      </c>
      <c r="R44" s="1" t="n">
        <v>1158</v>
      </c>
      <c r="S44" s="1" t="n">
        <v>1158</v>
      </c>
      <c r="T44">
        <f>IF(R44=S44,"相符","不相符")</f>
        <v/>
      </c>
      <c r="V44">
        <f>P44*R44</f>
        <v/>
      </c>
      <c r="W44">
        <f>Q44*V44</f>
        <v/>
      </c>
      <c r="X44" t="n">
        <v>730</v>
      </c>
      <c r="Y44" t="inlineStr">
        <is>
          <t>(M)2025-08-23
(E)2027-08-22</t>
        </is>
      </c>
      <c r="Z44" t="inlineStr">
        <is>
          <t>MPO_260812_P&amp;G</t>
        </is>
      </c>
      <c r="AC44" t="inlineStr">
        <is>
          <t>YY/MM/DD</t>
        </is>
      </c>
    </row>
    <row r="45">
      <c r="A45" t="inlineStr">
        <is>
          <t>一般</t>
        </is>
      </c>
      <c r="B45" t="inlineStr">
        <is>
          <t>寶僑</t>
        </is>
      </c>
      <c r="C45" t="inlineStr">
        <is>
          <t>13000000448515</t>
        </is>
      </c>
      <c r="D45" t="inlineStr">
        <is>
          <t>TXRC29</t>
        </is>
      </c>
      <c r="E45" t="inlineStr">
        <is>
          <t>No. 16, Lane 230, Zhongzheng 3rd Road, Yingge District, New Taipei City</t>
        </is>
      </c>
      <c r="F45" s="3" t="n">
        <v>46257</v>
      </c>
      <c r="G45" t="n">
        <v>2</v>
      </c>
      <c r="H45" t="inlineStr">
        <is>
          <t>522244896192055</t>
        </is>
      </c>
      <c r="I45" t="inlineStr">
        <is>
          <t>14987176340853</t>
        </is>
      </c>
      <c r="J45" t="inlineStr">
        <is>
          <t>4987176340856</t>
        </is>
      </c>
      <c r="K45" t="inlineStr">
        <is>
          <t>ARIEL</t>
        </is>
      </c>
      <c r="L45" t="inlineStr">
        <is>
          <t>[箱裝][DS]ARIEL 台灣公司貨 超濃縮 新升級 抗菌洗衣精補充包, 室內晾衣型, 1690g, 6包</t>
        </is>
      </c>
      <c r="M45" t="n">
        <v>44</v>
      </c>
      <c r="N45" t="n">
        <v>44</v>
      </c>
      <c r="O45" t="inlineStr">
        <is>
          <t>箱</t>
        </is>
      </c>
      <c r="P45" t="n">
        <v>1</v>
      </c>
      <c r="Q45">
        <f>N45/P45</f>
        <v/>
      </c>
      <c r="R45" s="1" t="n">
        <v>1158</v>
      </c>
      <c r="S45" s="1" t="n">
        <v>1158</v>
      </c>
      <c r="T45">
        <f>IF(R45=S45,"相符","不相符")</f>
        <v/>
      </c>
      <c r="V45">
        <f>P45*R45</f>
        <v/>
      </c>
      <c r="W45">
        <f>Q45*V45</f>
        <v/>
      </c>
      <c r="X45" t="n">
        <v>730</v>
      </c>
      <c r="Y45" t="inlineStr">
        <is>
          <t>(M)2025-08-23
(E)2027-08-22</t>
        </is>
      </c>
      <c r="Z45" t="inlineStr">
        <is>
          <t>MPO_260812_P&amp;G</t>
        </is>
      </c>
      <c r="AC45" t="inlineStr">
        <is>
          <t>YY/MM/DD</t>
        </is>
      </c>
    </row>
    <row r="46">
      <c r="A46" t="inlineStr">
        <is>
          <t>一般</t>
        </is>
      </c>
      <c r="B46" t="inlineStr">
        <is>
          <t>寶僑</t>
        </is>
      </c>
      <c r="C46" t="inlineStr">
        <is>
          <t>13000000448514</t>
        </is>
      </c>
      <c r="D46" t="inlineStr">
        <is>
          <t>TAO5</t>
        </is>
      </c>
      <c r="E46" t="inlineStr">
        <is>
          <t>桃園市觀音區寶倉街108號5樓</t>
        </is>
      </c>
      <c r="F46" s="3" t="n">
        <v>46257</v>
      </c>
      <c r="G46" t="n">
        <v>1</v>
      </c>
      <c r="H46" t="inlineStr">
        <is>
          <t>522244896416515</t>
        </is>
      </c>
      <c r="I46" t="inlineStr">
        <is>
          <t>4987176376886</t>
        </is>
      </c>
      <c r="J46" t="inlineStr">
        <is>
          <t>4987176376886</t>
        </is>
      </c>
      <c r="K46" t="inlineStr">
        <is>
          <t>Crest</t>
        </is>
      </c>
      <c r="L46" t="inlineStr">
        <is>
          <t>Crest 多效淨白牙膏 清爽薄荷, 120g, 1個</t>
        </is>
      </c>
      <c r="M46" t="n">
        <v>168</v>
      </c>
      <c r="N46" t="n">
        <v>168</v>
      </c>
      <c r="O46" t="inlineStr">
        <is>
          <t>個</t>
        </is>
      </c>
      <c r="P46" t="n">
        <v>24</v>
      </c>
      <c r="Q46">
        <f>N46/P46</f>
        <v/>
      </c>
      <c r="R46" s="1" t="n">
        <v>57</v>
      </c>
      <c r="S46" s="1" t="n">
        <v>57</v>
      </c>
      <c r="T46">
        <f>IF(R46=S46,"相符","不相符")</f>
        <v/>
      </c>
      <c r="V46">
        <f>P46*R46</f>
        <v/>
      </c>
      <c r="W46">
        <f>Q46*V46</f>
        <v/>
      </c>
      <c r="X46" t="n">
        <v>730</v>
      </c>
      <c r="Y46" t="inlineStr">
        <is>
          <t>(M)-
(E)2028-02-21</t>
        </is>
      </c>
      <c r="Z46" t="inlineStr">
        <is>
          <t>MPO_260812_P&amp;G</t>
        </is>
      </c>
      <c r="AC46" t="inlineStr">
        <is>
          <t>YY/MM/DD</t>
        </is>
      </c>
    </row>
    <row r="47">
      <c r="A47" t="inlineStr">
        <is>
          <t>一般</t>
        </is>
      </c>
      <c r="B47" t="inlineStr">
        <is>
          <t>寶僑</t>
        </is>
      </c>
      <c r="C47" t="inlineStr">
        <is>
          <t>13000000448514</t>
        </is>
      </c>
      <c r="D47" t="inlineStr">
        <is>
          <t>TAO5</t>
        </is>
      </c>
      <c r="E47" t="inlineStr">
        <is>
          <t>桃園市觀音區寶倉街108號5樓</t>
        </is>
      </c>
      <c r="F47" s="3" t="n">
        <v>46257</v>
      </c>
      <c r="G47" t="n">
        <v>2</v>
      </c>
      <c r="H47" t="inlineStr">
        <is>
          <t>522244896416516</t>
        </is>
      </c>
      <c r="I47" t="inlineStr">
        <is>
          <t>4987176376879</t>
        </is>
      </c>
      <c r="J47" t="inlineStr">
        <is>
          <t>4987176376879</t>
        </is>
      </c>
      <c r="K47" t="inlineStr">
        <is>
          <t>Crest</t>
        </is>
      </c>
      <c r="L47" t="inlineStr">
        <is>
          <t>Crest 多效淨白牙膏 檸檬青茶, 120g, 1個</t>
        </is>
      </c>
      <c r="M47" t="n">
        <v>168</v>
      </c>
      <c r="N47" t="n">
        <v>168</v>
      </c>
      <c r="O47" t="inlineStr">
        <is>
          <t>個</t>
        </is>
      </c>
      <c r="P47" t="n">
        <v>24</v>
      </c>
      <c r="Q47">
        <f>N47/P47</f>
        <v/>
      </c>
      <c r="R47" s="1" t="n">
        <v>57</v>
      </c>
      <c r="S47" s="1" t="n">
        <v>57</v>
      </c>
      <c r="T47">
        <f>IF(R47=S47,"相符","不相符")</f>
        <v/>
      </c>
      <c r="V47">
        <f>P47*R47</f>
        <v/>
      </c>
      <c r="W47">
        <f>Q47*V47</f>
        <v/>
      </c>
      <c r="X47" t="n">
        <v>730</v>
      </c>
      <c r="Y47" t="inlineStr">
        <is>
          <t>(M)2025-02-22
(E)2028-02-21</t>
        </is>
      </c>
      <c r="Z47" t="inlineStr">
        <is>
          <t>MPO_260812_P&amp;G</t>
        </is>
      </c>
      <c r="AC47" t="inlineStr">
        <is>
          <t>YY/MM/DD</t>
        </is>
      </c>
    </row>
    <row r="48">
      <c r="A48" t="inlineStr">
        <is>
          <t>一般</t>
        </is>
      </c>
      <c r="B48" t="inlineStr">
        <is>
          <t>寶僑</t>
        </is>
      </c>
      <c r="C48" t="inlineStr">
        <is>
          <t>13000000448514</t>
        </is>
      </c>
      <c r="D48" t="inlineStr">
        <is>
          <t>TAO5</t>
        </is>
      </c>
      <c r="E48" t="inlineStr">
        <is>
          <t>桃園市觀音區寶倉街108號5樓</t>
        </is>
      </c>
      <c r="F48" s="3" t="n">
        <v>46257</v>
      </c>
      <c r="G48" t="n">
        <v>3</v>
      </c>
      <c r="H48" t="inlineStr">
        <is>
          <t>522244896416517</t>
        </is>
      </c>
      <c r="I48" t="inlineStr">
        <is>
          <t>4987176376893</t>
        </is>
      </c>
      <c r="J48" t="inlineStr">
        <is>
          <t>4987176376893</t>
        </is>
      </c>
      <c r="K48" t="inlineStr">
        <is>
          <t>Crest</t>
        </is>
      </c>
      <c r="L48" t="inlineStr">
        <is>
          <t>Crest 多效淨白牙膏 清新茉莉, 120g, 1個</t>
        </is>
      </c>
      <c r="M48" t="n">
        <v>168</v>
      </c>
      <c r="N48" t="n">
        <v>168</v>
      </c>
      <c r="O48" t="inlineStr">
        <is>
          <t>個</t>
        </is>
      </c>
      <c r="P48" t="n">
        <v>24</v>
      </c>
      <c r="Q48">
        <f>N48/P48</f>
        <v/>
      </c>
      <c r="R48" s="1" t="n">
        <v>57</v>
      </c>
      <c r="S48" s="1" t="n">
        <v>57</v>
      </c>
      <c r="T48">
        <f>IF(R48=S48,"相符","不相符")</f>
        <v/>
      </c>
      <c r="V48">
        <f>P48*R48</f>
        <v/>
      </c>
      <c r="W48">
        <f>Q48*V48</f>
        <v/>
      </c>
      <c r="X48" t="n">
        <v>730</v>
      </c>
      <c r="Y48" t="inlineStr">
        <is>
          <t>(M)2025-02-22
(E)2028-02-21</t>
        </is>
      </c>
      <c r="Z48" t="inlineStr">
        <is>
          <t>MPO_260812_P&amp;G</t>
        </is>
      </c>
      <c r="AC48" t="inlineStr">
        <is>
          <t>YY/MM/DD</t>
        </is>
      </c>
    </row>
    <row r="49">
      <c r="A49" t="inlineStr">
        <is>
          <t>一般</t>
        </is>
      </c>
      <c r="B49" t="inlineStr">
        <is>
          <t>寶僑</t>
        </is>
      </c>
      <c r="C49" t="inlineStr">
        <is>
          <t>13000000448514</t>
        </is>
      </c>
      <c r="D49" t="inlineStr">
        <is>
          <t>TAO5</t>
        </is>
      </c>
      <c r="E49" t="inlineStr">
        <is>
          <t>桃園市觀音區寶倉街108號5樓</t>
        </is>
      </c>
      <c r="F49" s="3" t="n">
        <v>46257</v>
      </c>
      <c r="G49" t="n">
        <v>4</v>
      </c>
      <c r="H49" t="inlineStr">
        <is>
          <t>522244896416691</t>
        </is>
      </c>
      <c r="I49" t="inlineStr">
        <is>
          <t>44987176376877</t>
        </is>
      </c>
      <c r="J49" t="inlineStr">
        <is>
          <t>44987176376877</t>
        </is>
      </c>
      <c r="K49" t="inlineStr">
        <is>
          <t>Crest</t>
        </is>
      </c>
      <c r="L49" t="inlineStr">
        <is>
          <t>[組出]Crest 多效淨白牙膏 檸檬青茶, 120g, 6個</t>
        </is>
      </c>
      <c r="M49" t="n">
        <v>96</v>
      </c>
      <c r="N49" t="n">
        <v>96</v>
      </c>
      <c r="O49" t="inlineStr">
        <is>
          <t>組</t>
        </is>
      </c>
      <c r="P49" t="n">
        <v>4</v>
      </c>
      <c r="Q49">
        <f>N49/P49</f>
        <v/>
      </c>
      <c r="R49" s="1" t="n">
        <v>342</v>
      </c>
      <c r="S49" s="1" t="n">
        <v>342</v>
      </c>
      <c r="T49">
        <f>IF(R49=S49,"相符","不相符")</f>
        <v/>
      </c>
      <c r="V49">
        <f>P49*R49</f>
        <v/>
      </c>
      <c r="W49">
        <f>Q49*V49</f>
        <v/>
      </c>
      <c r="X49" t="n">
        <v>730</v>
      </c>
      <c r="Y49" t="inlineStr">
        <is>
          <t>(M)2025-02-22
(E)2028-02-21</t>
        </is>
      </c>
      <c r="Z49" t="inlineStr">
        <is>
          <t>MPO_260812_P&amp;G</t>
        </is>
      </c>
      <c r="AC49" t="inlineStr">
        <is>
          <t>YY/MM/DD</t>
        </is>
      </c>
    </row>
    <row r="50">
      <c r="A50" t="inlineStr">
        <is>
          <t>一般</t>
        </is>
      </c>
      <c r="B50" t="inlineStr">
        <is>
          <t>寶僑</t>
        </is>
      </c>
      <c r="C50" t="inlineStr">
        <is>
          <t>13000000448514</t>
        </is>
      </c>
      <c r="D50" t="inlineStr">
        <is>
          <t>TAO5</t>
        </is>
      </c>
      <c r="E50" t="inlineStr">
        <is>
          <t>桃園市觀音區寶倉街108號5樓</t>
        </is>
      </c>
      <c r="F50" s="3" t="n">
        <v>46257</v>
      </c>
      <c r="G50" t="n">
        <v>5</v>
      </c>
      <c r="H50" t="inlineStr">
        <is>
          <t>522244896416692</t>
        </is>
      </c>
      <c r="I50" t="inlineStr">
        <is>
          <t>44987176376884</t>
        </is>
      </c>
      <c r="J50" t="inlineStr">
        <is>
          <t>44987176376884</t>
        </is>
      </c>
      <c r="K50" t="inlineStr">
        <is>
          <t>Crest</t>
        </is>
      </c>
      <c r="L50" t="inlineStr">
        <is>
          <t>[組出]Crest 多效淨白牙膏 清爽薄荷, 120g, 6個</t>
        </is>
      </c>
      <c r="M50" t="n">
        <v>96</v>
      </c>
      <c r="N50" t="n">
        <v>96</v>
      </c>
      <c r="O50" t="inlineStr">
        <is>
          <t>組</t>
        </is>
      </c>
      <c r="P50" t="n">
        <v>4</v>
      </c>
      <c r="Q50">
        <f>N50/P50</f>
        <v/>
      </c>
      <c r="R50" s="1" t="n">
        <v>342</v>
      </c>
      <c r="S50" s="1" t="n">
        <v>342</v>
      </c>
      <c r="T50">
        <f>IF(R50=S50,"相符","不相符")</f>
        <v/>
      </c>
      <c r="V50">
        <f>P50*R50</f>
        <v/>
      </c>
      <c r="W50">
        <f>Q50*V50</f>
        <v/>
      </c>
      <c r="X50" t="n">
        <v>730</v>
      </c>
      <c r="Y50" t="inlineStr">
        <is>
          <t>(M)2025-02-22
(E)2028-02-21</t>
        </is>
      </c>
      <c r="Z50" t="inlineStr">
        <is>
          <t>MPO_260812_P&amp;G</t>
        </is>
      </c>
      <c r="AC50" t="inlineStr">
        <is>
          <t>YY/MM/DD</t>
        </is>
      </c>
    </row>
    <row r="51">
      <c r="A51" t="inlineStr">
        <is>
          <t>一般</t>
        </is>
      </c>
      <c r="B51" t="inlineStr">
        <is>
          <t>寶僑</t>
        </is>
      </c>
      <c r="C51" t="inlineStr">
        <is>
          <t>13000000448514</t>
        </is>
      </c>
      <c r="D51" t="inlineStr">
        <is>
          <t>TAO5</t>
        </is>
      </c>
      <c r="E51" t="inlineStr">
        <is>
          <t>桃園市觀音區寶倉街108號5樓</t>
        </is>
      </c>
      <c r="F51" s="3" t="n">
        <v>46257</v>
      </c>
      <c r="G51" t="n">
        <v>6</v>
      </c>
      <c r="H51" t="inlineStr">
        <is>
          <t>522244896416693</t>
        </is>
      </c>
      <c r="I51" t="inlineStr">
        <is>
          <t>44987176376891</t>
        </is>
      </c>
      <c r="J51" t="inlineStr">
        <is>
          <t>44987176376891</t>
        </is>
      </c>
      <c r="K51" t="inlineStr">
        <is>
          <t>Crest</t>
        </is>
      </c>
      <c r="L51" t="inlineStr">
        <is>
          <t>[組出]Crest 多效淨白牙膏 清新茉莉, 120g, 6個</t>
        </is>
      </c>
      <c r="M51" t="n">
        <v>96</v>
      </c>
      <c r="N51" t="n">
        <v>96</v>
      </c>
      <c r="O51" t="inlineStr">
        <is>
          <t>組</t>
        </is>
      </c>
      <c r="P51" t="n">
        <v>4</v>
      </c>
      <c r="Q51">
        <f>N51/P51</f>
        <v/>
      </c>
      <c r="R51" s="1" t="n">
        <v>342</v>
      </c>
      <c r="S51" s="1" t="n">
        <v>342</v>
      </c>
      <c r="T51">
        <f>IF(R51=S51,"相符","不相符")</f>
        <v/>
      </c>
      <c r="V51">
        <f>P51*R51</f>
        <v/>
      </c>
      <c r="W51">
        <f>Q51*V51</f>
        <v/>
      </c>
      <c r="X51" t="n">
        <v>730</v>
      </c>
      <c r="Y51" t="inlineStr">
        <is>
          <t>(M)2025-02-22
(E)2028-02-21</t>
        </is>
      </c>
      <c r="Z51" t="inlineStr">
        <is>
          <t>MPO_260812_P&amp;G</t>
        </is>
      </c>
      <c r="AC51" t="inlineStr">
        <is>
          <t>YY/MM/DD</t>
        </is>
      </c>
    </row>
    <row r="52">
      <c r="A52" t="inlineStr">
        <is>
          <t>一般</t>
        </is>
      </c>
      <c r="B52" t="inlineStr">
        <is>
          <t>CPG-紙品</t>
        </is>
      </c>
      <c r="C52" t="inlineStr">
        <is>
          <t>13000000447509</t>
        </is>
      </c>
      <c r="D52" t="inlineStr">
        <is>
          <t>TAO5</t>
        </is>
      </c>
      <c r="E52" t="inlineStr">
        <is>
          <t>桃園市觀音區寶倉街108號5樓</t>
        </is>
      </c>
      <c r="F52" s="3" t="n">
        <v>46259</v>
      </c>
      <c r="G52" t="n">
        <v>1</v>
      </c>
      <c r="H52" t="inlineStr">
        <is>
          <t>123251695009802</t>
        </is>
      </c>
      <c r="I52" t="inlineStr">
        <is>
          <t>4710104009828</t>
        </is>
      </c>
      <c r="J52" t="inlineStr">
        <is>
          <t>0304042</t>
        </is>
      </c>
      <c r="K52" t="inlineStr">
        <is>
          <t>03-得意</t>
        </is>
      </c>
      <c r="L52" t="inlineStr">
        <is>
          <t>得意 金得意系列 巧撕廚房紙巾, 112張, 6捲, 1袋</t>
        </is>
      </c>
      <c r="M52" t="n">
        <v>3432</v>
      </c>
      <c r="N52" t="n">
        <v>3432</v>
      </c>
      <c r="O52" t="inlineStr">
        <is>
          <t>袋</t>
        </is>
      </c>
      <c r="P52" t="n">
        <v>8</v>
      </c>
      <c r="Q52">
        <f>N52/P52</f>
        <v/>
      </c>
      <c r="R52" s="1" t="n">
        <v>65</v>
      </c>
      <c r="S52" s="1" t="n">
        <v>65</v>
      </c>
      <c r="T52">
        <f>IF(R52=S52,"相符","不相符")</f>
        <v/>
      </c>
      <c r="U52" t="inlineStr">
        <is>
          <t>包裝升級(舊料號0304023順轉)</t>
        </is>
      </c>
      <c r="V52">
        <f>P52*R52</f>
        <v/>
      </c>
      <c r="W52">
        <f>Q52*V52</f>
        <v/>
      </c>
      <c r="X52" t="n">
        <v>1825</v>
      </c>
      <c r="Y52" t="inlineStr">
        <is>
          <t>(M)-
(E)2029-02-22</t>
        </is>
      </c>
      <c r="Z52" t="inlineStr">
        <is>
          <t>Tip_system_shufflefail_snop_request</t>
        </is>
      </c>
      <c r="AC52" t="inlineStr">
        <is>
          <t>YYYY/MM/DD</t>
        </is>
      </c>
    </row>
    <row r="53">
      <c r="A53" t="inlineStr">
        <is>
          <t>一般</t>
        </is>
      </c>
      <c r="B53" t="inlineStr">
        <is>
          <t>CPG-潔品</t>
        </is>
      </c>
      <c r="C53" t="inlineStr">
        <is>
          <t>13000000447509</t>
        </is>
      </c>
      <c r="D53" t="inlineStr">
        <is>
          <t>TAO5</t>
        </is>
      </c>
      <c r="E53" t="inlineStr">
        <is>
          <t>桃園市觀音區寶倉街108號5樓</t>
        </is>
      </c>
      <c r="F53" s="3" t="n">
        <v>46259</v>
      </c>
      <c r="G53" t="n">
        <v>2</v>
      </c>
      <c r="H53" t="inlineStr">
        <is>
          <t>123251799867424</t>
        </is>
      </c>
      <c r="I53" t="inlineStr">
        <is>
          <t>4712318590215</t>
        </is>
      </c>
      <c r="J53" t="inlineStr">
        <is>
          <t>1022257</t>
        </is>
      </c>
      <c r="K53" t="inlineStr">
        <is>
          <t>10-橘子工坊</t>
        </is>
      </c>
      <c r="L53" t="inlineStr">
        <is>
          <t>Orange House 橘子工坊 浴廁清潔劑 兩用噴頭, 480ml, 1瓶</t>
        </is>
      </c>
      <c r="M53" t="n">
        <v>2520</v>
      </c>
      <c r="N53" t="n">
        <v>2520</v>
      </c>
      <c r="O53" t="inlineStr">
        <is>
          <t>瓶</t>
        </is>
      </c>
      <c r="P53" t="n">
        <v>12</v>
      </c>
      <c r="Q53">
        <f>N53/P53</f>
        <v/>
      </c>
      <c r="R53" s="1" t="n">
        <v>64</v>
      </c>
      <c r="S53" s="1" t="n">
        <v>64</v>
      </c>
      <c r="T53">
        <f>IF(R53=S53,"相符","不相符")</f>
        <v/>
      </c>
      <c r="V53">
        <f>P53*R53</f>
        <v/>
      </c>
      <c r="W53">
        <f>Q53*V53</f>
        <v/>
      </c>
      <c r="X53" t="n">
        <v>1095</v>
      </c>
      <c r="Y53" t="inlineStr">
        <is>
          <t>(M)-
(E)2028-02-23</t>
        </is>
      </c>
      <c r="Z53" t="inlineStr">
        <is>
          <t>Tip_system_shufflefail_snop_request</t>
        </is>
      </c>
      <c r="AC53" t="inlineStr">
        <is>
          <t>YYYY/MM/DD</t>
        </is>
      </c>
    </row>
    <row r="54">
      <c r="A54" t="inlineStr">
        <is>
          <t>一般</t>
        </is>
      </c>
      <c r="B54" t="inlineStr">
        <is>
          <t>CPG-潔品</t>
        </is>
      </c>
      <c r="C54" t="inlineStr">
        <is>
          <t>13000000447509</t>
        </is>
      </c>
      <c r="D54" t="inlineStr">
        <is>
          <t>TAO5</t>
        </is>
      </c>
      <c r="E54" t="inlineStr">
        <is>
          <t>桃園市觀音區寶倉街108號5樓</t>
        </is>
      </c>
      <c r="F54" s="3" t="n">
        <v>46259</v>
      </c>
      <c r="G54" t="n">
        <v>3</v>
      </c>
      <c r="H54" t="inlineStr">
        <is>
          <t>150827452841984</t>
        </is>
      </c>
      <c r="I54" t="inlineStr">
        <is>
          <t>4712318594152</t>
        </is>
      </c>
      <c r="J54" t="inlineStr">
        <is>
          <t>1022247</t>
        </is>
      </c>
      <c r="K54" t="inlineStr">
        <is>
          <t>10-橘子工坊</t>
        </is>
      </c>
      <c r="L54" t="inlineStr">
        <is>
          <t>Orange House 橘子工坊 去油淨味洗碗精, 650ml, 1瓶</t>
        </is>
      </c>
      <c r="M54" t="n">
        <v>1464</v>
      </c>
      <c r="N54" t="n">
        <v>1464</v>
      </c>
      <c r="O54" t="inlineStr">
        <is>
          <t>瓶</t>
        </is>
      </c>
      <c r="P54" t="n">
        <v>12</v>
      </c>
      <c r="Q54">
        <f>N54/P54</f>
        <v/>
      </c>
      <c r="R54" s="1" t="n">
        <v>87</v>
      </c>
      <c r="S54" s="1" t="n">
        <v>87</v>
      </c>
      <c r="T54">
        <f>IF(R54=S54,"相符","不相符")</f>
        <v/>
      </c>
      <c r="V54">
        <f>P54*R54</f>
        <v/>
      </c>
      <c r="W54">
        <f>Q54*V54</f>
        <v/>
      </c>
      <c r="X54" t="n">
        <v>1095</v>
      </c>
      <c r="Y54" t="inlineStr">
        <is>
          <t>(M)-
(E)2028-02-23</t>
        </is>
      </c>
      <c r="Z54" t="inlineStr">
        <is>
          <t>Tip_system_shufflefail_snop_request</t>
        </is>
      </c>
      <c r="AC54" t="inlineStr">
        <is>
          <t>YYYY/MM/DD</t>
        </is>
      </c>
    </row>
    <row r="55">
      <c r="A55" t="inlineStr">
        <is>
          <t>一般</t>
        </is>
      </c>
      <c r="B55" t="inlineStr">
        <is>
          <t>瑪氏</t>
        </is>
      </c>
      <c r="C55" t="inlineStr">
        <is>
          <t>13000000447421</t>
        </is>
      </c>
      <c r="D55" t="inlineStr">
        <is>
          <t>TAO5</t>
        </is>
      </c>
      <c r="E55" t="inlineStr">
        <is>
          <t>桃園市觀音區寶倉街108號5樓</t>
        </is>
      </c>
      <c r="F55" s="3" t="n">
        <v>46261</v>
      </c>
      <c r="G55" t="n">
        <v>1</v>
      </c>
      <c r="H55" t="inlineStr">
        <is>
          <t>122902854713363</t>
        </is>
      </c>
      <c r="I55" t="inlineStr">
        <is>
          <t>4710716336152</t>
        </is>
      </c>
      <c r="J55" t="inlineStr">
        <is>
          <t>M10283141</t>
        </is>
      </c>
      <c r="K55" t="inlineStr">
        <is>
          <t>Airwaves</t>
        </is>
      </c>
      <c r="L55" t="inlineStr">
        <is>
          <t>Airwaves 超涼無糖薄荷糖 超凉薄荷口味, 30g, 3條, 1袋</t>
        </is>
      </c>
      <c r="M55" t="n">
        <v>60</v>
      </c>
      <c r="N55" t="n">
        <v>60</v>
      </c>
      <c r="O55" t="inlineStr">
        <is>
          <t>包</t>
        </is>
      </c>
      <c r="P55" t="n">
        <v>48</v>
      </c>
      <c r="Q55">
        <f>N55/P55</f>
        <v/>
      </c>
      <c r="R55" s="1" t="n">
        <v>70</v>
      </c>
      <c r="S55" s="1" t="n">
        <v>70</v>
      </c>
      <c r="T55">
        <f>IF(R55=S55,"相符","不相符")</f>
        <v/>
      </c>
      <c r="U55" t="inlineStr">
        <is>
          <t>M10283141</t>
        </is>
      </c>
      <c r="V55">
        <f>P55*R55</f>
        <v/>
      </c>
      <c r="W55">
        <f>Q55*V55</f>
        <v/>
      </c>
      <c r="X55" t="n">
        <v>540</v>
      </c>
      <c r="Y55" t="inlineStr">
        <is>
          <t>(M)-
(E)2027-07-19</t>
        </is>
      </c>
      <c r="Z55" t="inlineStr">
        <is>
          <t>Tip_system_shufflefail_snop_request</t>
        </is>
      </c>
      <c r="AC55" t="inlineStr">
        <is>
          <t>DD/MM/YY</t>
        </is>
      </c>
    </row>
    <row r="56">
      <c r="A56" t="inlineStr">
        <is>
          <t>一般</t>
        </is>
      </c>
      <c r="B56" t="inlineStr">
        <is>
          <t>瑪氏</t>
        </is>
      </c>
      <c r="C56" t="inlineStr">
        <is>
          <t>13000000447421</t>
        </is>
      </c>
      <c r="D56" t="inlineStr">
        <is>
          <t>TAO5</t>
        </is>
      </c>
      <c r="E56" t="inlineStr">
        <is>
          <t>桃園市觀音區寶倉街108號5樓</t>
        </is>
      </c>
      <c r="F56" s="3" t="n">
        <v>46261</v>
      </c>
      <c r="G56" t="n">
        <v>2</v>
      </c>
      <c r="H56" t="inlineStr">
        <is>
          <t>122903911677954</t>
        </is>
      </c>
      <c r="I56" t="inlineStr">
        <is>
          <t>4902397846413</t>
        </is>
      </c>
      <c r="J56" t="inlineStr">
        <is>
          <t>M10281282</t>
        </is>
      </c>
      <c r="K56" t="inlineStr">
        <is>
          <t>Cesar 西莎</t>
        </is>
      </c>
      <c r="L56" t="inlineStr">
        <is>
          <t>Cesar 西莎 點心系列 狗零食, 低脂雞胸培根切片口味, 80g, 1包</t>
        </is>
      </c>
      <c r="M56" t="n">
        <v>252</v>
      </c>
      <c r="N56" t="n">
        <v>252</v>
      </c>
      <c r="O56" t="inlineStr">
        <is>
          <t>盒</t>
        </is>
      </c>
      <c r="P56" t="n">
        <v>36</v>
      </c>
      <c r="Q56">
        <f>N56/P56</f>
        <v/>
      </c>
      <c r="R56" s="1" t="n">
        <v>78</v>
      </c>
      <c r="S56" s="1" t="n">
        <v>78</v>
      </c>
      <c r="T56">
        <f>IF(R56=S56,"相符","不相符")</f>
        <v/>
      </c>
      <c r="U56" t="inlineStr">
        <is>
          <t>M10281282</t>
        </is>
      </c>
      <c r="V56">
        <f>P56*R56</f>
        <v/>
      </c>
      <c r="W56">
        <f>Q56*V56</f>
        <v/>
      </c>
      <c r="X56" t="n">
        <v>450</v>
      </c>
      <c r="Y56" t="inlineStr">
        <is>
          <t>(M)-
(E)2027-04-11</t>
        </is>
      </c>
      <c r="Z56" t="inlineStr">
        <is>
          <t>Tip_system_shufflefail_snop_request</t>
        </is>
      </c>
      <c r="AC56" t="inlineStr">
        <is>
          <t>YY/MM/DD</t>
        </is>
      </c>
    </row>
    <row r="57">
      <c r="A57" t="inlineStr">
        <is>
          <t>一般</t>
        </is>
      </c>
      <c r="B57" t="inlineStr">
        <is>
          <t>瑪氏</t>
        </is>
      </c>
      <c r="C57" t="inlineStr">
        <is>
          <t>13000000447421</t>
        </is>
      </c>
      <c r="D57" t="inlineStr">
        <is>
          <t>TAO5</t>
        </is>
      </c>
      <c r="E57" t="inlineStr">
        <is>
          <t>桃園市觀音區寶倉街108號5樓</t>
        </is>
      </c>
      <c r="F57" s="3" t="n">
        <v>46261</v>
      </c>
      <c r="G57" t="n">
        <v>3</v>
      </c>
      <c r="H57" t="inlineStr">
        <is>
          <t>153706569875456</t>
        </is>
      </c>
      <c r="I57" t="inlineStr">
        <is>
          <t>19334214036363</t>
        </is>
      </c>
      <c r="J57" t="inlineStr">
        <is>
          <t>M60018009</t>
        </is>
      </c>
      <c r="K57" t="inlineStr">
        <is>
          <t>Sheba 希寶</t>
        </is>
      </c>
      <c r="L57" t="inlineStr">
        <is>
          <t>[箱裝]Sheba 希寶 金罐, 鮪魚 + 鮭魚, 85g, 24罐, 1箱</t>
        </is>
      </c>
      <c r="M57" t="n">
        <v>28</v>
      </c>
      <c r="N57" t="n">
        <v>28</v>
      </c>
      <c r="O57" t="inlineStr">
        <is>
          <t>箱</t>
        </is>
      </c>
      <c r="P57" t="n">
        <v>1</v>
      </c>
      <c r="Q57">
        <f>N57/P57</f>
        <v/>
      </c>
      <c r="R57" s="1" t="n">
        <v>635</v>
      </c>
      <c r="S57" s="1" t="n">
        <v>635</v>
      </c>
      <c r="T57">
        <f>IF(R57=S57,"相符","不相符")</f>
        <v/>
      </c>
      <c r="U57" t="inlineStr">
        <is>
          <t>M10201244-1</t>
        </is>
      </c>
      <c r="V57">
        <f>P57*R57</f>
        <v/>
      </c>
      <c r="W57">
        <f>Q57*V57</f>
        <v/>
      </c>
      <c r="X57" t="n">
        <v>730</v>
      </c>
      <c r="Y57" t="inlineStr">
        <is>
          <t>(M)-
(E)2027-08-26</t>
        </is>
      </c>
      <c r="Z57" t="inlineStr">
        <is>
          <t>Tip_system_shufflefail_snop_request</t>
        </is>
      </c>
      <c r="AC57" t="inlineStr">
        <is>
          <t>YY/MM/DD</t>
        </is>
      </c>
    </row>
    <row r="58">
      <c r="A58" t="inlineStr">
        <is>
          <t>一般</t>
        </is>
      </c>
      <c r="B58" t="inlineStr">
        <is>
          <t>瑪氏</t>
        </is>
      </c>
      <c r="C58" t="inlineStr">
        <is>
          <t>13000000447421</t>
        </is>
      </c>
      <c r="D58" t="inlineStr">
        <is>
          <t>TAO5</t>
        </is>
      </c>
      <c r="E58" t="inlineStr">
        <is>
          <t>桃園市觀音區寶倉街108號5樓</t>
        </is>
      </c>
      <c r="F58" s="3" t="n">
        <v>46261</v>
      </c>
      <c r="G58" t="n">
        <v>4</v>
      </c>
      <c r="H58" t="inlineStr">
        <is>
          <t>153740686344197</t>
        </is>
      </c>
      <c r="I58" t="inlineStr">
        <is>
          <t>4902397838227</t>
        </is>
      </c>
      <c r="J58" t="inlineStr">
        <is>
          <t>M10230272</t>
        </is>
      </c>
      <c r="K58" t="inlineStr">
        <is>
          <t>Cesar 西莎</t>
        </is>
      </c>
      <c r="L58" t="inlineStr">
        <is>
          <t>[箱裝] Cesar 西莎 14歲以上超高齡犬 熟齡餐盒, 牛肉 + 蔬菜口味, 100g, 24罐</t>
        </is>
      </c>
      <c r="M58" t="n">
        <v>216</v>
      </c>
      <c r="N58" t="n">
        <v>216</v>
      </c>
      <c r="O58" t="inlineStr">
        <is>
          <t>盒</t>
        </is>
      </c>
      <c r="P58" t="n">
        <v>4</v>
      </c>
      <c r="Q58">
        <f>N58/P58</f>
        <v/>
      </c>
      <c r="R58" s="1" t="n">
        <v>555</v>
      </c>
      <c r="S58" s="1" t="n">
        <v>555</v>
      </c>
      <c r="T58">
        <f>IF(R58=S58,"相符","不相符")</f>
        <v/>
      </c>
      <c r="U58" t="inlineStr">
        <is>
          <t>M10230272</t>
        </is>
      </c>
      <c r="V58">
        <f>P58*R58</f>
        <v/>
      </c>
      <c r="W58">
        <f>Q58*V58</f>
        <v/>
      </c>
      <c r="X58" t="n">
        <v>730</v>
      </c>
      <c r="Y58" t="inlineStr">
        <is>
          <t>(M)-
(E)2027-08-26</t>
        </is>
      </c>
      <c r="Z58" t="inlineStr">
        <is>
          <t>Tip_system_shufflefail_snop_request</t>
        </is>
      </c>
      <c r="AC58" t="inlineStr">
        <is>
          <t>YY/MM/DD</t>
        </is>
      </c>
    </row>
    <row r="59">
      <c r="A59" t="inlineStr">
        <is>
          <t>一般</t>
        </is>
      </c>
      <c r="B59" t="inlineStr">
        <is>
          <t>瑪氏</t>
        </is>
      </c>
      <c r="C59" t="inlineStr">
        <is>
          <t>13000000447421</t>
        </is>
      </c>
      <c r="D59" t="inlineStr">
        <is>
          <t>TAO5</t>
        </is>
      </c>
      <c r="E59" t="inlineStr">
        <is>
          <t>桃園市觀音區寶倉街108號5樓</t>
        </is>
      </c>
      <c r="F59" s="3" t="n">
        <v>46261</v>
      </c>
      <c r="G59" t="n">
        <v>5</v>
      </c>
      <c r="H59" t="inlineStr">
        <is>
          <t>153741084835842</t>
        </is>
      </c>
      <c r="I59" t="inlineStr">
        <is>
          <t>4902397839200</t>
        </is>
      </c>
      <c r="J59" t="inlineStr">
        <is>
          <t>M60002183</t>
        </is>
      </c>
      <c r="K59" t="inlineStr">
        <is>
          <t>Cesar 西莎</t>
        </is>
      </c>
      <c r="L59" t="inlineStr">
        <is>
          <t>[組出] Cesar 西莎 成犬 蒸鮮包, 牛肉 + 蔬菜口味, 70g, 16包</t>
        </is>
      </c>
      <c r="M59" t="n">
        <v>290</v>
      </c>
      <c r="N59" t="n">
        <v>290</v>
      </c>
      <c r="O59" t="inlineStr">
        <is>
          <t>盒</t>
        </is>
      </c>
      <c r="P59" t="n">
        <v>10</v>
      </c>
      <c r="Q59">
        <f>N59/P59</f>
        <v/>
      </c>
      <c r="R59" s="1" t="n">
        <v>277</v>
      </c>
      <c r="S59" s="1" t="n">
        <v>277</v>
      </c>
      <c r="T59">
        <f>IF(R59=S59,"相符","不相符")</f>
        <v/>
      </c>
      <c r="U59" t="inlineStr">
        <is>
          <t>M10243539</t>
        </is>
      </c>
      <c r="V59">
        <f>P59*R59</f>
        <v/>
      </c>
      <c r="W59">
        <f>Q59*V59</f>
        <v/>
      </c>
      <c r="X59" t="n">
        <v>730</v>
      </c>
      <c r="Y59" t="inlineStr">
        <is>
          <t>(M)-
(E)2027-08-26</t>
        </is>
      </c>
      <c r="Z59" t="inlineStr">
        <is>
          <t>Tip_system_shufflefail_snop_request</t>
        </is>
      </c>
      <c r="AC59" t="inlineStr">
        <is>
          <t>YY/MM/DD</t>
        </is>
      </c>
    </row>
    <row r="60">
      <c r="A60" t="inlineStr">
        <is>
          <t>一般</t>
        </is>
      </c>
      <c r="B60" t="inlineStr">
        <is>
          <t>瑪氏</t>
        </is>
      </c>
      <c r="C60" t="inlineStr">
        <is>
          <t>13000000447421</t>
        </is>
      </c>
      <c r="D60" t="inlineStr">
        <is>
          <t>TAO5</t>
        </is>
      </c>
      <c r="E60" t="inlineStr">
        <is>
          <t>桃園市觀音區寶倉街108號5樓</t>
        </is>
      </c>
      <c r="F60" s="3" t="n">
        <v>46261</v>
      </c>
      <c r="G60" t="n">
        <v>6</v>
      </c>
      <c r="H60" t="inlineStr">
        <is>
          <t>153741449723908</t>
        </is>
      </c>
      <c r="I60" t="inlineStr">
        <is>
          <t>4714686007715</t>
        </is>
      </c>
      <c r="J60" t="inlineStr">
        <is>
          <t>M10279554</t>
        </is>
      </c>
      <c r="K60" t="inlineStr">
        <is>
          <t>Cesar 西莎</t>
        </is>
      </c>
      <c r="L60" t="inlineStr">
        <is>
          <t>[箱裝] Cesar 西莎 風味餐盒, 鄉村嫩燒小羊肉口味, 100g, 24罐</t>
        </is>
      </c>
      <c r="M60" t="n">
        <v>360</v>
      </c>
      <c r="N60" t="n">
        <v>360</v>
      </c>
      <c r="O60" t="inlineStr">
        <is>
          <t>盒</t>
        </is>
      </c>
      <c r="P60" t="n">
        <v>4</v>
      </c>
      <c r="Q60">
        <f>N60/P60</f>
        <v/>
      </c>
      <c r="R60" s="1" t="n">
        <v>555</v>
      </c>
      <c r="S60" s="1" t="n">
        <v>555</v>
      </c>
      <c r="T60">
        <f>IF(R60=S60,"相符","不相符")</f>
        <v/>
      </c>
      <c r="U60" t="inlineStr">
        <is>
          <t>M10279554</t>
        </is>
      </c>
      <c r="V60">
        <f>P60*R60</f>
        <v/>
      </c>
      <c r="W60">
        <f>Q60*V60</f>
        <v/>
      </c>
      <c r="X60" t="n">
        <v>730</v>
      </c>
      <c r="Y60" t="inlineStr">
        <is>
          <t>(M)-
(E)2027-08-26</t>
        </is>
      </c>
      <c r="Z60" t="inlineStr">
        <is>
          <t>Tip_system_shufflefail_snop_request</t>
        </is>
      </c>
      <c r="AC60" t="inlineStr">
        <is>
          <t>DD/MM/YY</t>
        </is>
      </c>
    </row>
    <row r="61">
      <c r="A61" t="inlineStr">
        <is>
          <t>一般</t>
        </is>
      </c>
      <c r="B61" t="inlineStr">
        <is>
          <t>瑪氏</t>
        </is>
      </c>
      <c r="C61" t="inlineStr">
        <is>
          <t>13000000447421</t>
        </is>
      </c>
      <c r="D61" t="inlineStr">
        <is>
          <t>TAO5</t>
        </is>
      </c>
      <c r="E61" t="inlineStr">
        <is>
          <t>桃園市觀音區寶倉街108號5樓</t>
        </is>
      </c>
      <c r="F61" s="3" t="n">
        <v>46261</v>
      </c>
      <c r="G61" t="n">
        <v>7</v>
      </c>
      <c r="H61" t="inlineStr">
        <is>
          <t>153741470695427</t>
        </is>
      </c>
      <c r="I61" t="inlineStr">
        <is>
          <t>4902397812517</t>
        </is>
      </c>
      <c r="J61" t="inlineStr">
        <is>
          <t>M60002173</t>
        </is>
      </c>
      <c r="K61" t="inlineStr">
        <is>
          <t>Cesar 西莎</t>
        </is>
      </c>
      <c r="L61" t="inlineStr">
        <is>
          <t>[組出] Cesar 西莎 成犬 蒸鮮包, 低脂雞肉, 70g, 16包</t>
        </is>
      </c>
      <c r="M61" t="n">
        <v>560</v>
      </c>
      <c r="N61" t="n">
        <v>560</v>
      </c>
      <c r="O61" t="inlineStr">
        <is>
          <t>盒</t>
        </is>
      </c>
      <c r="P61" t="n">
        <v>10</v>
      </c>
      <c r="Q61">
        <f>N61/P61</f>
        <v/>
      </c>
      <c r="R61" s="1" t="n">
        <v>277</v>
      </c>
      <c r="S61" s="1" t="n">
        <v>277</v>
      </c>
      <c r="T61">
        <f>IF(R61=S61,"相符","不相符")</f>
        <v/>
      </c>
      <c r="U61" t="inlineStr">
        <is>
          <t>M10243523</t>
        </is>
      </c>
      <c r="V61">
        <f>P61*R61</f>
        <v/>
      </c>
      <c r="W61">
        <f>Q61*V61</f>
        <v/>
      </c>
      <c r="X61" t="n">
        <v>730</v>
      </c>
      <c r="Y61" t="inlineStr">
        <is>
          <t>(M)-
(E)2027-08-26</t>
        </is>
      </c>
      <c r="Z61" t="inlineStr">
        <is>
          <t>Tip_system_shufflefail_snop_request</t>
        </is>
      </c>
      <c r="AC61" t="inlineStr">
        <is>
          <t>YY/MM/DD</t>
        </is>
      </c>
    </row>
    <row r="62">
      <c r="A62" t="inlineStr">
        <is>
          <t>一般</t>
        </is>
      </c>
      <c r="B62" t="inlineStr">
        <is>
          <t>瑪氏</t>
        </is>
      </c>
      <c r="C62" t="inlineStr">
        <is>
          <t>13000000447421</t>
        </is>
      </c>
      <c r="D62" t="inlineStr">
        <is>
          <t>TAO5</t>
        </is>
      </c>
      <c r="E62" t="inlineStr">
        <is>
          <t>桃園市觀音區寶倉街108號5樓</t>
        </is>
      </c>
      <c r="F62" s="3" t="n">
        <v>46261</v>
      </c>
      <c r="G62" t="n">
        <v>8</v>
      </c>
      <c r="H62" t="inlineStr">
        <is>
          <t>153743458779139</t>
        </is>
      </c>
      <c r="I62" t="inlineStr">
        <is>
          <t>8853301140812</t>
        </is>
      </c>
      <c r="J62" t="inlineStr">
        <is>
          <t>M10273717</t>
        </is>
      </c>
      <c r="K62" t="inlineStr">
        <is>
          <t>whiskas 偉嘉</t>
        </is>
      </c>
      <c r="L62" t="inlineStr">
        <is>
          <t>whiskas 偉嘉 幼貓/懷孕母貓專用 乾飼料, 海洋魚類口味, 2~12個月, 1.1kg, 1袋</t>
        </is>
      </c>
      <c r="M62" t="n">
        <v>400</v>
      </c>
      <c r="N62" t="n">
        <v>400</v>
      </c>
      <c r="O62" t="inlineStr">
        <is>
          <t>盒</t>
        </is>
      </c>
      <c r="P62" t="n">
        <v>6</v>
      </c>
      <c r="Q62">
        <f>N62/P62</f>
        <v/>
      </c>
      <c r="R62" s="1" t="n">
        <v>129</v>
      </c>
      <c r="S62" s="1" t="n">
        <v>129</v>
      </c>
      <c r="T62">
        <f>IF(R62=S62,"相符","不相符")</f>
        <v/>
      </c>
      <c r="U62" t="inlineStr">
        <is>
          <t>M10273717</t>
        </is>
      </c>
      <c r="V62">
        <f>P62*R62</f>
        <v/>
      </c>
      <c r="W62">
        <f>Q62*V62</f>
        <v/>
      </c>
      <c r="X62" t="n">
        <v>540</v>
      </c>
      <c r="Y62" t="inlineStr">
        <is>
          <t>(M)2025-11-28
(E)2027-05-26</t>
        </is>
      </c>
      <c r="Z62" t="inlineStr">
        <is>
          <t>Tip_system_shufflefail_snop_request</t>
        </is>
      </c>
      <c r="AC62" t="inlineStr">
        <is>
          <t>DD/MM/YY</t>
        </is>
      </c>
    </row>
    <row r="63">
      <c r="A63" t="inlineStr">
        <is>
          <t>一般</t>
        </is>
      </c>
      <c r="B63" t="inlineStr">
        <is>
          <t>瑪氏</t>
        </is>
      </c>
      <c r="C63" t="inlineStr">
        <is>
          <t>13000000447421</t>
        </is>
      </c>
      <c r="D63" t="inlineStr">
        <is>
          <t>TAO5</t>
        </is>
      </c>
      <c r="E63" t="inlineStr">
        <is>
          <t>桃園市觀音區寶倉街108號5樓</t>
        </is>
      </c>
      <c r="F63" s="3" t="n">
        <v>46261</v>
      </c>
      <c r="G63" t="n">
        <v>9</v>
      </c>
      <c r="H63" t="inlineStr">
        <is>
          <t>154005632139264</t>
        </is>
      </c>
      <c r="I63" t="inlineStr">
        <is>
          <t>4710716339245</t>
        </is>
      </c>
      <c r="J63" t="inlineStr">
        <is>
          <t>M10266388</t>
        </is>
      </c>
      <c r="K63" t="inlineStr">
        <is>
          <t>eclipse 易口舒</t>
        </is>
      </c>
      <c r="L63" t="inlineStr">
        <is>
          <t>[組出] eclipse 易口舒 無糖薄荷錠, 勁爽薄荷口味, 31g, 8盒</t>
        </is>
      </c>
      <c r="M63" t="n">
        <v>168</v>
      </c>
      <c r="N63" t="n">
        <v>168</v>
      </c>
      <c r="O63" t="inlineStr">
        <is>
          <t>盒</t>
        </is>
      </c>
      <c r="P63" t="n">
        <v>12</v>
      </c>
      <c r="Q63">
        <f>N63/P63</f>
        <v/>
      </c>
      <c r="R63" s="1" t="n">
        <v>317</v>
      </c>
      <c r="S63" s="1" t="n">
        <v>317</v>
      </c>
      <c r="T63">
        <f>IF(R63=S63,"相符","不相符")</f>
        <v/>
      </c>
      <c r="U63" t="inlineStr">
        <is>
          <t>M10266388</t>
        </is>
      </c>
      <c r="V63">
        <f>P63*R63</f>
        <v/>
      </c>
      <c r="W63">
        <f>Q63*V63</f>
        <v/>
      </c>
      <c r="X63" t="n">
        <v>450</v>
      </c>
      <c r="Y63" t="inlineStr">
        <is>
          <t>(M)-
(E)2027-05-26</t>
        </is>
      </c>
      <c r="Z63" t="inlineStr">
        <is>
          <t>Tip_system_shufflefail_snop_request</t>
        </is>
      </c>
      <c r="AC63" t="inlineStr">
        <is>
          <t>DD/MM/YY</t>
        </is>
      </c>
    </row>
    <row r="64">
      <c r="A64" t="inlineStr">
        <is>
          <t>一般</t>
        </is>
      </c>
      <c r="B64" t="inlineStr">
        <is>
          <t>瑪氏</t>
        </is>
      </c>
      <c r="C64" t="inlineStr">
        <is>
          <t>13000000447421</t>
        </is>
      </c>
      <c r="D64" t="inlineStr">
        <is>
          <t>TAO5</t>
        </is>
      </c>
      <c r="E64" t="inlineStr">
        <is>
          <t>桃園市觀音區寶倉街108號5樓</t>
        </is>
      </c>
      <c r="F64" s="3" t="n">
        <v>46261</v>
      </c>
      <c r="G64" t="n">
        <v>10</v>
      </c>
      <c r="H64" t="inlineStr">
        <is>
          <t>154006030630915</t>
        </is>
      </c>
      <c r="I64" t="inlineStr">
        <is>
          <t>9300613109567</t>
        </is>
      </c>
      <c r="J64" t="inlineStr">
        <is>
          <t>M10236063</t>
        </is>
      </c>
      <c r="K64" t="inlineStr">
        <is>
          <t>eclipse 易口舒</t>
        </is>
      </c>
      <c r="L64" t="inlineStr">
        <is>
          <t>eclipse 易口舒 無糖薄荷錠, 勁爽薄荷口味, 150g, 220粒, 1袋</t>
        </is>
      </c>
      <c r="M64" t="n">
        <v>80</v>
      </c>
      <c r="N64" t="n">
        <v>80</v>
      </c>
      <c r="O64" t="inlineStr">
        <is>
          <t>盒</t>
        </is>
      </c>
      <c r="P64" t="n">
        <v>10</v>
      </c>
      <c r="Q64">
        <f>N64/P64</f>
        <v/>
      </c>
      <c r="R64" s="1" t="n">
        <v>177</v>
      </c>
      <c r="S64" s="1" t="n">
        <v>177</v>
      </c>
      <c r="T64">
        <f>IF(R64=S64,"相符","不相符")</f>
        <v/>
      </c>
      <c r="U64" t="inlineStr">
        <is>
          <t>M10236063</t>
        </is>
      </c>
      <c r="V64">
        <f>P64*R64</f>
        <v/>
      </c>
      <c r="W64">
        <f>Q64*V64</f>
        <v/>
      </c>
      <c r="X64" t="n">
        <v>450</v>
      </c>
      <c r="Y64" t="inlineStr">
        <is>
          <t>(M)-
(E)2027-05-26</t>
        </is>
      </c>
      <c r="Z64" t="inlineStr">
        <is>
          <t>Tip_system_shufflefail_snop_request</t>
        </is>
      </c>
      <c r="AC64" t="inlineStr">
        <is>
          <t>DD/MM/YY</t>
        </is>
      </c>
    </row>
    <row r="65">
      <c r="A65" t="inlineStr">
        <is>
          <t>一般</t>
        </is>
      </c>
      <c r="B65" t="inlineStr">
        <is>
          <t>瑪氏</t>
        </is>
      </c>
      <c r="C65" t="inlineStr">
        <is>
          <t>13000000447421</t>
        </is>
      </c>
      <c r="D65" t="inlineStr">
        <is>
          <t>TAO5</t>
        </is>
      </c>
      <c r="E65" t="inlineStr">
        <is>
          <t>桃園市觀音區寶倉街108號5樓</t>
        </is>
      </c>
      <c r="F65" s="3" t="n">
        <v>46261</v>
      </c>
      <c r="G65" t="n">
        <v>11</v>
      </c>
      <c r="H65" t="inlineStr">
        <is>
          <t>276214220570624</t>
        </is>
      </c>
      <c r="I65" t="inlineStr">
        <is>
          <t>0642863041266</t>
        </is>
      </c>
      <c r="J65" t="inlineStr">
        <is>
          <t>M10225150</t>
        </is>
      </c>
      <c r="K65" t="inlineStr">
        <is>
          <t>Greenies 健綠</t>
        </is>
      </c>
      <c r="L65" t="inlineStr">
        <is>
          <t>Greenies 健綠 潔牙骨, 原味, 7~11kg 小型犬專用, 27oz, 1盒</t>
        </is>
      </c>
      <c r="M65" t="n">
        <v>100</v>
      </c>
      <c r="N65" t="n">
        <v>100</v>
      </c>
      <c r="O65" t="inlineStr">
        <is>
          <t>盒</t>
        </is>
      </c>
      <c r="P65" t="n">
        <v>12</v>
      </c>
      <c r="Q65">
        <f>N65/P65</f>
        <v/>
      </c>
      <c r="R65" s="1" t="n">
        <v>658</v>
      </c>
      <c r="S65" s="1" t="n">
        <v>658</v>
      </c>
      <c r="T65">
        <f>IF(R65=S65,"相符","不相符")</f>
        <v/>
      </c>
      <c r="U65" t="inlineStr">
        <is>
          <t>M10225150</t>
        </is>
      </c>
      <c r="V65">
        <f>P65*R65</f>
        <v/>
      </c>
      <c r="W65">
        <f>Q65*V65</f>
        <v/>
      </c>
      <c r="X65" t="n">
        <v>540</v>
      </c>
      <c r="Y65" t="inlineStr">
        <is>
          <t>(M)-
(E)2027-05-26</t>
        </is>
      </c>
      <c r="Z65" t="inlineStr">
        <is>
          <t>Tip_system_shufflefail_snop_request</t>
        </is>
      </c>
      <c r="AC65" t="inlineStr">
        <is>
          <t>DD/MM/YY</t>
        </is>
      </c>
    </row>
    <row r="66">
      <c r="A66" t="inlineStr">
        <is>
          <t>一般</t>
        </is>
      </c>
      <c r="B66" t="inlineStr">
        <is>
          <t>瑪氏</t>
        </is>
      </c>
      <c r="C66" t="inlineStr">
        <is>
          <t>13000000447421</t>
        </is>
      </c>
      <c r="D66" t="inlineStr">
        <is>
          <t>TAO5</t>
        </is>
      </c>
      <c r="E66" t="inlineStr">
        <is>
          <t>桃園市觀音區寶倉街108號5樓</t>
        </is>
      </c>
      <c r="F66" s="3" t="n">
        <v>46261</v>
      </c>
      <c r="G66" t="n">
        <v>12</v>
      </c>
      <c r="H66" t="inlineStr">
        <is>
          <t>483037523460098</t>
        </is>
      </c>
      <c r="I66" t="inlineStr">
        <is>
          <t>18853301012567</t>
        </is>
      </c>
      <c r="J66" t="inlineStr">
        <is>
          <t>M10272370</t>
        </is>
      </c>
      <c r="K66" t="inlineStr">
        <is>
          <t>whiskas 偉嘉</t>
        </is>
      </c>
      <c r="L66" t="inlineStr">
        <is>
          <t>[箱裝] Whiskas偉嘉 什錦珍味妙鮮包, 雞肉 + 鮪魚 + 紅蘿蔔湯汁, 70g, 28包</t>
        </is>
      </c>
      <c r="M66" t="n">
        <v>36</v>
      </c>
      <c r="N66" t="n">
        <v>36</v>
      </c>
      <c r="O66" t="inlineStr">
        <is>
          <t>箱</t>
        </is>
      </c>
      <c r="P66" t="n">
        <v>1</v>
      </c>
      <c r="Q66">
        <f>N66/P66</f>
        <v/>
      </c>
      <c r="R66" s="1" t="n">
        <v>438</v>
      </c>
      <c r="S66" s="1" t="n">
        <v>438</v>
      </c>
      <c r="T66">
        <f>IF(R66=S66,"相符","不相符")</f>
        <v/>
      </c>
      <c r="U66" t="inlineStr">
        <is>
          <t>M10272370</t>
        </is>
      </c>
      <c r="V66">
        <f>P66*R66</f>
        <v/>
      </c>
      <c r="W66">
        <f>Q66*V66</f>
        <v/>
      </c>
      <c r="X66" t="n">
        <v>730</v>
      </c>
      <c r="Y66" t="inlineStr">
        <is>
          <t>(M)-
(E)2027-08-26</t>
        </is>
      </c>
      <c r="Z66" t="inlineStr">
        <is>
          <t>Tip_system_shufflefail_snop_request</t>
        </is>
      </c>
      <c r="AC66" t="inlineStr">
        <is>
          <t>DD/MM/YY</t>
        </is>
      </c>
    </row>
    <row r="67">
      <c r="A67" t="inlineStr">
        <is>
          <t>一般</t>
        </is>
      </c>
      <c r="B67" t="inlineStr">
        <is>
          <t>瑪氏</t>
        </is>
      </c>
      <c r="C67" t="inlineStr">
        <is>
          <t>13000000447421</t>
        </is>
      </c>
      <c r="D67" t="inlineStr">
        <is>
          <t>TAO5</t>
        </is>
      </c>
      <c r="E67" t="inlineStr">
        <is>
          <t>桃園市觀音區寶倉街108號5樓</t>
        </is>
      </c>
      <c r="F67" s="3" t="n">
        <v>46261</v>
      </c>
      <c r="G67" t="n">
        <v>13</v>
      </c>
      <c r="H67" t="inlineStr">
        <is>
          <t>522244895791653</t>
        </is>
      </c>
      <c r="I67" t="inlineStr">
        <is>
          <t>16914973706344</t>
        </is>
      </c>
      <c r="J67" t="inlineStr">
        <is>
          <t>M10403196</t>
        </is>
      </c>
      <c r="K67" t="inlineStr">
        <is>
          <t>Sheba 希寶</t>
        </is>
      </c>
      <c r="L67" t="inlineStr">
        <is>
          <t>[箱裝]Sheba 希寶 主食貓罐頭, 雞肉慕斯佐雞肝, 70g, 24罐</t>
        </is>
      </c>
      <c r="M67" t="n">
        <v>53</v>
      </c>
      <c r="N67" t="n">
        <v>53</v>
      </c>
      <c r="O67" t="inlineStr">
        <is>
          <t>箱</t>
        </is>
      </c>
      <c r="P67" t="n">
        <v>1</v>
      </c>
      <c r="Q67">
        <f>N67/P67</f>
        <v/>
      </c>
      <c r="R67" s="1" t="n">
        <v>635</v>
      </c>
      <c r="S67" s="1" t="n">
        <v>635</v>
      </c>
      <c r="T67">
        <f>IF(R67=S67,"相符","不相符")</f>
        <v/>
      </c>
      <c r="U67" t="inlineStr">
        <is>
          <t>M10403196</t>
        </is>
      </c>
      <c r="V67">
        <f>P67*R67</f>
        <v/>
      </c>
      <c r="W67">
        <f>Q67*V67</f>
        <v/>
      </c>
      <c r="X67" t="n">
        <v>730</v>
      </c>
      <c r="Y67" t="inlineStr">
        <is>
          <t>(M)2025-08-27
(E)2027-08-26</t>
        </is>
      </c>
      <c r="Z67" t="inlineStr">
        <is>
          <t>Tip_system_shufflefail_snop_request</t>
        </is>
      </c>
      <c r="AC67" t="inlineStr">
        <is>
          <t>DD/MM/YY</t>
        </is>
      </c>
    </row>
    <row r="68">
      <c r="A68" t="inlineStr">
        <is>
          <t>一般</t>
        </is>
      </c>
      <c r="B68" t="inlineStr">
        <is>
          <t>CPG-潔品</t>
        </is>
      </c>
      <c r="C68" t="inlineStr">
        <is>
          <t>13000000447411</t>
        </is>
      </c>
      <c r="D68" t="inlineStr">
        <is>
          <t>TAO5</t>
        </is>
      </c>
      <c r="E68" t="inlineStr">
        <is>
          <t>桃園市觀音區寶倉街108號5樓</t>
        </is>
      </c>
      <c r="F68" s="3" t="n">
        <v>46261</v>
      </c>
      <c r="G68" t="n">
        <v>1</v>
      </c>
      <c r="H68" t="inlineStr">
        <is>
          <t>123251833421834</t>
        </is>
      </c>
      <c r="I68" t="inlineStr">
        <is>
          <t>4712318590291</t>
        </is>
      </c>
      <c r="J68" t="inlineStr">
        <is>
          <t>1022258</t>
        </is>
      </c>
      <c r="K68" t="inlineStr">
        <is>
          <t>10-橘子工坊</t>
        </is>
      </c>
      <c r="L68" t="inlineStr">
        <is>
          <t>橘子工坊 食器妙用清潔粉, 450g, 1瓶</t>
        </is>
      </c>
      <c r="M68" t="n">
        <v>336</v>
      </c>
      <c r="N68" t="n">
        <v>336</v>
      </c>
      <c r="O68" t="inlineStr">
        <is>
          <t>瓶</t>
        </is>
      </c>
      <c r="P68" t="n">
        <v>12</v>
      </c>
      <c r="Q68">
        <f>N68/P68</f>
        <v/>
      </c>
      <c r="R68" s="1" t="n">
        <v>73</v>
      </c>
      <c r="S68" s="1" t="n">
        <v>73</v>
      </c>
      <c r="T68">
        <f>IF(R68=S68,"相符","不相符")</f>
        <v/>
      </c>
      <c r="V68">
        <f>P68*R68</f>
        <v/>
      </c>
      <c r="W68">
        <f>Q68*V68</f>
        <v/>
      </c>
      <c r="X68" t="n">
        <v>1095</v>
      </c>
      <c r="Y68" t="inlineStr">
        <is>
          <t>(M)-
(E)2028-02-25</t>
        </is>
      </c>
      <c r="Z68" t="inlineStr">
        <is>
          <t>Tip_system_shufflefail_snop_request</t>
        </is>
      </c>
      <c r="AC68" t="inlineStr">
        <is>
          <t>YYYY/MM/DD</t>
        </is>
      </c>
    </row>
    <row r="69">
      <c r="A69" t="inlineStr">
        <is>
          <t>一般</t>
        </is>
      </c>
      <c r="B69" t="inlineStr">
        <is>
          <t>CPG-紙品</t>
        </is>
      </c>
      <c r="C69" t="inlineStr">
        <is>
          <t>13000000447411</t>
        </is>
      </c>
      <c r="D69" t="inlineStr">
        <is>
          <t>TAO5</t>
        </is>
      </c>
      <c r="E69" t="inlineStr">
        <is>
          <t>桃園市觀音區寶倉街108號5樓</t>
        </is>
      </c>
      <c r="F69" s="3" t="n">
        <v>46261</v>
      </c>
      <c r="G69" t="n">
        <v>2</v>
      </c>
      <c r="H69" t="inlineStr">
        <is>
          <t>522244896231843</t>
        </is>
      </c>
      <c r="I69" t="inlineStr">
        <is>
          <t>4710104030006</t>
        </is>
      </c>
      <c r="J69" t="inlineStr">
        <is>
          <t>0304036</t>
        </is>
      </c>
      <c r="K69" t="inlineStr">
        <is>
          <t>03-得意</t>
        </is>
      </c>
      <c r="L69" t="inlineStr">
        <is>
          <t>得意 掛式抽取全能廚房紙巾, 300張, 1個</t>
        </is>
      </c>
      <c r="M69" t="n">
        <v>1722</v>
      </c>
      <c r="N69" t="n">
        <v>1722</v>
      </c>
      <c r="O69" t="inlineStr">
        <is>
          <t>袋</t>
        </is>
      </c>
      <c r="P69" t="n">
        <v>10</v>
      </c>
      <c r="Q69">
        <f>N69/P69</f>
        <v/>
      </c>
      <c r="R69" s="1" t="n">
        <v>44</v>
      </c>
      <c r="S69" s="1" t="n">
        <v>44</v>
      </c>
      <c r="T69">
        <f>IF(R69=S69,"相符","不相符")</f>
        <v/>
      </c>
      <c r="V69">
        <f>P69*R69</f>
        <v/>
      </c>
      <c r="W69">
        <f>Q69*V69</f>
        <v/>
      </c>
      <c r="X69" t="n">
        <v>1095</v>
      </c>
      <c r="Y69" t="inlineStr">
        <is>
          <t>(M)2024-02-27
(E)2029-02-24</t>
        </is>
      </c>
      <c r="Z69" t="inlineStr">
        <is>
          <t>Tip_system_shufflefail_snop_request</t>
        </is>
      </c>
      <c r="AC69" t="inlineStr">
        <is>
          <t>YYYY/MM/DD</t>
        </is>
      </c>
    </row>
    <row r="70">
      <c r="A70" t="inlineStr">
        <is>
          <t>一般</t>
        </is>
      </c>
      <c r="B70" t="inlineStr">
        <is>
          <t>瑪氏</t>
        </is>
      </c>
      <c r="C70" t="inlineStr">
        <is>
          <t>13000000447372</t>
        </is>
      </c>
      <c r="D70" t="inlineStr">
        <is>
          <t>TXRC29</t>
        </is>
      </c>
      <c r="E70" t="inlineStr">
        <is>
          <t>No. 16, Lane 230, Zhongzheng 3rd Road, Yingge District, New Taipei City</t>
        </is>
      </c>
      <c r="F70" s="3" t="n">
        <v>46256</v>
      </c>
      <c r="G70" t="n">
        <v>1</v>
      </c>
      <c r="H70" t="inlineStr">
        <is>
          <t>153743853076481</t>
        </is>
      </c>
      <c r="I70" t="inlineStr">
        <is>
          <t>8853301400145</t>
        </is>
      </c>
      <c r="J70" t="inlineStr">
        <is>
          <t>M10273709</t>
        </is>
      </c>
      <c r="K70" t="inlineStr">
        <is>
          <t>whiskas 偉嘉</t>
        </is>
      </c>
      <c r="L70" t="inlineStr">
        <is>
          <t>whiskas 偉嘉 成貓 乾飼料, 海洋魚類口味, 1歲以上成貓, 7kg, 1袋</t>
        </is>
      </c>
      <c r="M70" t="n">
        <v>176</v>
      </c>
      <c r="N70" t="n">
        <v>176</v>
      </c>
      <c r="O70" t="inlineStr">
        <is>
          <t>箱</t>
        </is>
      </c>
      <c r="P70" t="n">
        <v>1</v>
      </c>
      <c r="Q70">
        <f>N70/P70</f>
        <v/>
      </c>
      <c r="R70" s="1" t="n">
        <v>561</v>
      </c>
      <c r="S70" s="1" t="n">
        <v>561</v>
      </c>
      <c r="T70">
        <f>IF(R70=S70,"相符","不相符")</f>
        <v/>
      </c>
      <c r="U70" t="inlineStr">
        <is>
          <t>M10273709</t>
        </is>
      </c>
      <c r="V70">
        <f>P70*R70</f>
        <v/>
      </c>
      <c r="W70">
        <f>Q70*V70</f>
        <v/>
      </c>
      <c r="X70" t="n">
        <v>540</v>
      </c>
      <c r="Y70" t="inlineStr">
        <is>
          <t>(M)-
(E)2027-05-18</t>
        </is>
      </c>
      <c r="Z70" t="inlineStr">
        <is>
          <t>Tip_system_shufflefail_snop_request</t>
        </is>
      </c>
      <c r="AC70" t="inlineStr">
        <is>
          <t>DD/MM/YY</t>
        </is>
      </c>
    </row>
    <row r="71">
      <c r="A71" t="inlineStr">
        <is>
          <t>一般</t>
        </is>
      </c>
      <c r="B71" t="inlineStr">
        <is>
          <t>CPG-紙品</t>
        </is>
      </c>
      <c r="C71" t="inlineStr">
        <is>
          <t>13000000447273</t>
        </is>
      </c>
      <c r="D71" t="inlineStr">
        <is>
          <t>TXRC29</t>
        </is>
      </c>
      <c r="E71" t="inlineStr">
        <is>
          <t>No. 16, Lane 230, Zhongzheng 3rd Road, Yingge District, New Taipei City</t>
        </is>
      </c>
      <c r="F71" s="3" t="n">
        <v>46256</v>
      </c>
      <c r="G71" t="n">
        <v>1</v>
      </c>
      <c r="H71" t="inlineStr">
        <is>
          <t>204081385668608</t>
        </is>
      </c>
      <c r="I71" t="inlineStr">
        <is>
          <t>4710104007213</t>
        </is>
      </c>
      <c r="J71" t="inlineStr">
        <is>
          <t>0302136</t>
        </is>
      </c>
      <c r="K71" t="inlineStr">
        <is>
          <t>03-得意</t>
        </is>
      </c>
      <c r="L71" t="inlineStr">
        <is>
          <t>[箱裝]得意 連續抽取式花紋衛生紙, 100張, 12包, 7袋</t>
        </is>
      </c>
      <c r="M71" t="n">
        <v>110</v>
      </c>
      <c r="N71" t="n">
        <v>110</v>
      </c>
      <c r="O71" t="inlineStr">
        <is>
          <t>箱</t>
        </is>
      </c>
      <c r="P71" t="n">
        <v>1</v>
      </c>
      <c r="Q71">
        <f>N71/P71</f>
        <v/>
      </c>
      <c r="R71" s="1" t="n">
        <v>642</v>
      </c>
      <c r="S71" s="1" t="n">
        <v>642</v>
      </c>
      <c r="T71">
        <f>IF(R71=S71,"相符","不相符")</f>
        <v/>
      </c>
      <c r="U71" t="inlineStr">
        <is>
          <t>控貨 //超材157</t>
        </is>
      </c>
      <c r="V71">
        <f>P71*R71</f>
        <v/>
      </c>
      <c r="W71">
        <f>Q71*V71</f>
        <v/>
      </c>
      <c r="X71" t="n">
        <v>1825</v>
      </c>
      <c r="Y71" t="inlineStr">
        <is>
          <t>(M)-
(E)2029-02-19</t>
        </is>
      </c>
      <c r="Z71" t="inlineStr">
        <is>
          <t>Tip_system_shufflefail_snop_request</t>
        </is>
      </c>
      <c r="AC71" t="inlineStr">
        <is>
          <t>YYYY/MM/DD</t>
        </is>
      </c>
    </row>
    <row r="72">
      <c r="A72" t="inlineStr">
        <is>
          <t>一般</t>
        </is>
      </c>
      <c r="B72" t="inlineStr">
        <is>
          <t>CPG-紙品</t>
        </is>
      </c>
      <c r="C72" t="inlineStr">
        <is>
          <t>13000000447244</t>
        </is>
      </c>
      <c r="D72" t="inlineStr">
        <is>
          <t>TAO3</t>
        </is>
      </c>
      <c r="E72" t="inlineStr">
        <is>
          <t>桃園市大園區中山南路472號</t>
        </is>
      </c>
      <c r="F72" s="3" t="n">
        <v>46259</v>
      </c>
      <c r="G72" t="n">
        <v>1</v>
      </c>
      <c r="H72" t="inlineStr">
        <is>
          <t>123251695009802</t>
        </is>
      </c>
      <c r="I72" t="inlineStr">
        <is>
          <t>4710104009828</t>
        </is>
      </c>
      <c r="J72" t="inlineStr">
        <is>
          <t>0304042</t>
        </is>
      </c>
      <c r="K72" t="inlineStr">
        <is>
          <t>03-得意</t>
        </is>
      </c>
      <c r="L72" t="inlineStr">
        <is>
          <t>得意 金得意系列 巧撕廚房紙巾, 112張, 6捲, 1袋</t>
        </is>
      </c>
      <c r="M72" t="n">
        <v>208</v>
      </c>
      <c r="N72" t="n">
        <v>208</v>
      </c>
      <c r="O72" t="inlineStr">
        <is>
          <t>袋</t>
        </is>
      </c>
      <c r="P72" t="n">
        <v>8</v>
      </c>
      <c r="Q72">
        <f>N72/P72</f>
        <v/>
      </c>
      <c r="R72" s="1" t="n">
        <v>65</v>
      </c>
      <c r="S72" s="1" t="n">
        <v>65</v>
      </c>
      <c r="T72">
        <f>IF(R72=S72,"相符","不相符")</f>
        <v/>
      </c>
      <c r="U72" t="inlineStr">
        <is>
          <t>包裝升級(舊料號0304023順轉)</t>
        </is>
      </c>
      <c r="V72">
        <f>P72*R72</f>
        <v/>
      </c>
      <c r="W72">
        <f>Q72*V72</f>
        <v/>
      </c>
      <c r="X72" t="n">
        <v>1825</v>
      </c>
      <c r="Y72" t="inlineStr">
        <is>
          <t>(M)-
(E)2029-02-22</t>
        </is>
      </c>
      <c r="Z72" t="inlineStr">
        <is>
          <t>Tip_system_shufflefail_snop_request</t>
        </is>
      </c>
      <c r="AC72" t="inlineStr">
        <is>
          <t>YYYY/MM/DD</t>
        </is>
      </c>
    </row>
    <row r="73">
      <c r="A73" t="inlineStr">
        <is>
          <t>一般</t>
        </is>
      </c>
      <c r="B73" t="inlineStr">
        <is>
          <t>CPG-潔品</t>
        </is>
      </c>
      <c r="C73" t="inlineStr">
        <is>
          <t>13000000447244</t>
        </is>
      </c>
      <c r="D73" t="inlineStr">
        <is>
          <t>TAO3</t>
        </is>
      </c>
      <c r="E73" t="inlineStr">
        <is>
          <t>桃園市大園區中山南路472號</t>
        </is>
      </c>
      <c r="F73" s="3" t="n">
        <v>46259</v>
      </c>
      <c r="G73" t="n">
        <v>2</v>
      </c>
      <c r="H73" t="inlineStr">
        <is>
          <t>123251799867424</t>
        </is>
      </c>
      <c r="I73" t="inlineStr">
        <is>
          <t>4712318590215</t>
        </is>
      </c>
      <c r="J73" t="inlineStr">
        <is>
          <t>1022257</t>
        </is>
      </c>
      <c r="K73" t="inlineStr">
        <is>
          <t>10-橘子工坊</t>
        </is>
      </c>
      <c r="L73" t="inlineStr">
        <is>
          <t>Orange House 橘子工坊 浴廁清潔劑 兩用噴頭, 480ml, 1瓶</t>
        </is>
      </c>
      <c r="M73" t="n">
        <v>432</v>
      </c>
      <c r="N73" t="n">
        <v>432</v>
      </c>
      <c r="O73" t="inlineStr">
        <is>
          <t>瓶</t>
        </is>
      </c>
      <c r="P73" t="n">
        <v>12</v>
      </c>
      <c r="Q73">
        <f>N73/P73</f>
        <v/>
      </c>
      <c r="R73" s="1" t="n">
        <v>64</v>
      </c>
      <c r="S73" s="1" t="n">
        <v>64</v>
      </c>
      <c r="T73">
        <f>IF(R73=S73,"相符","不相符")</f>
        <v/>
      </c>
      <c r="V73">
        <f>P73*R73</f>
        <v/>
      </c>
      <c r="W73">
        <f>Q73*V73</f>
        <v/>
      </c>
      <c r="X73" t="n">
        <v>1095</v>
      </c>
      <c r="Y73" t="inlineStr">
        <is>
          <t>(M)-
(E)2028-02-23</t>
        </is>
      </c>
      <c r="Z73" t="inlineStr">
        <is>
          <t>Tip_system_shufflefail_snop_request</t>
        </is>
      </c>
      <c r="AC73" t="inlineStr">
        <is>
          <t>YYYY/MM/DD</t>
        </is>
      </c>
    </row>
    <row r="74">
      <c r="A74" t="inlineStr">
        <is>
          <t>一般</t>
        </is>
      </c>
      <c r="B74" t="inlineStr">
        <is>
          <t>CPG-潔品</t>
        </is>
      </c>
      <c r="C74" t="inlineStr">
        <is>
          <t>13000000447244</t>
        </is>
      </c>
      <c r="D74" t="inlineStr">
        <is>
          <t>TAO3</t>
        </is>
      </c>
      <c r="E74" t="inlineStr">
        <is>
          <t>桃園市大園區中山南路472號</t>
        </is>
      </c>
      <c r="F74" s="3" t="n">
        <v>46259</v>
      </c>
      <c r="G74" t="n">
        <v>3</v>
      </c>
      <c r="H74" t="inlineStr">
        <is>
          <t>150827452841984</t>
        </is>
      </c>
      <c r="I74" t="inlineStr">
        <is>
          <t>4712318594152</t>
        </is>
      </c>
      <c r="J74" t="inlineStr">
        <is>
          <t>1022247</t>
        </is>
      </c>
      <c r="K74" t="inlineStr">
        <is>
          <t>10-橘子工坊</t>
        </is>
      </c>
      <c r="L74" t="inlineStr">
        <is>
          <t>Orange House 橘子工坊 去油淨味洗碗精, 650ml, 1瓶</t>
        </is>
      </c>
      <c r="M74" t="n">
        <v>264</v>
      </c>
      <c r="N74" t="n">
        <v>264</v>
      </c>
      <c r="O74" t="inlineStr">
        <is>
          <t>瓶</t>
        </is>
      </c>
      <c r="P74" t="n">
        <v>12</v>
      </c>
      <c r="Q74">
        <f>N74/P74</f>
        <v/>
      </c>
      <c r="R74" s="1" t="n">
        <v>87</v>
      </c>
      <c r="S74" s="1" t="n">
        <v>87</v>
      </c>
      <c r="T74">
        <f>IF(R74=S74,"相符","不相符")</f>
        <v/>
      </c>
      <c r="V74">
        <f>P74*R74</f>
        <v/>
      </c>
      <c r="W74">
        <f>Q74*V74</f>
        <v/>
      </c>
      <c r="X74" t="n">
        <v>1095</v>
      </c>
      <c r="Y74" t="inlineStr">
        <is>
          <t>(M)-
(E)2028-02-23</t>
        </is>
      </c>
      <c r="Z74" t="inlineStr">
        <is>
          <t>Tip_system_shufflefail_snop_request</t>
        </is>
      </c>
      <c r="AC74" t="inlineStr">
        <is>
          <t>YYYY/MM/DD</t>
        </is>
      </c>
    </row>
    <row r="75">
      <c r="A75" t="inlineStr">
        <is>
          <t>一般</t>
        </is>
      </c>
      <c r="B75" t="inlineStr">
        <is>
          <t>CPG-潔品</t>
        </is>
      </c>
      <c r="C75" t="inlineStr">
        <is>
          <t>13000000447244</t>
        </is>
      </c>
      <c r="D75" t="inlineStr">
        <is>
          <t>TAO3</t>
        </is>
      </c>
      <c r="E75" t="inlineStr">
        <is>
          <t>桃園市大園區中山南路472號</t>
        </is>
      </c>
      <c r="F75" s="3" t="n">
        <v>46259</v>
      </c>
      <c r="G75" t="n">
        <v>4</v>
      </c>
      <c r="H75" t="inlineStr">
        <is>
          <t>255235360538625</t>
        </is>
      </c>
      <c r="I75" t="inlineStr">
        <is>
          <t>4712318594145</t>
        </is>
      </c>
      <c r="J75" t="inlineStr">
        <is>
          <t>1022248</t>
        </is>
      </c>
      <c r="K75" t="inlineStr">
        <is>
          <t>10-橘子工坊</t>
        </is>
      </c>
      <c r="L75" t="inlineStr">
        <is>
          <t>橘子工坊 去油淨味碗盤洗滌液補充包500ml</t>
        </is>
      </c>
      <c r="M75" t="n">
        <v>1152</v>
      </c>
      <c r="N75" t="n">
        <v>1152</v>
      </c>
      <c r="O75" t="inlineStr">
        <is>
          <t>包</t>
        </is>
      </c>
      <c r="P75" t="n">
        <v>12</v>
      </c>
      <c r="Q75">
        <f>N75/P75</f>
        <v/>
      </c>
      <c r="R75" s="1" t="n">
        <v>74</v>
      </c>
      <c r="S75" s="1" t="n">
        <v>74</v>
      </c>
      <c r="T75">
        <f>IF(R75=S75,"相符","不相符")</f>
        <v/>
      </c>
      <c r="V75">
        <f>P75*R75</f>
        <v/>
      </c>
      <c r="W75">
        <f>Q75*V75</f>
        <v/>
      </c>
      <c r="X75" t="n">
        <v>1095</v>
      </c>
      <c r="Y75" t="inlineStr">
        <is>
          <t>(M)-
(E)2028-02-23</t>
        </is>
      </c>
      <c r="Z75" t="inlineStr">
        <is>
          <t>Tip_system_shufflefail_snop_request</t>
        </is>
      </c>
      <c r="AC75" t="inlineStr">
        <is>
          <t>YYYY/MM/DD</t>
        </is>
      </c>
    </row>
    <row r="76">
      <c r="A76" t="inlineStr">
        <is>
          <t>一般</t>
        </is>
      </c>
      <c r="B76" t="inlineStr">
        <is>
          <t>CPG-潔品</t>
        </is>
      </c>
      <c r="C76" t="inlineStr">
        <is>
          <t>13000000447244</t>
        </is>
      </c>
      <c r="D76" t="inlineStr">
        <is>
          <t>TAO3</t>
        </is>
      </c>
      <c r="E76" t="inlineStr">
        <is>
          <t>桃園市大園區中山南路472號</t>
        </is>
      </c>
      <c r="F76" s="3" t="n">
        <v>46259</v>
      </c>
      <c r="G76" t="n">
        <v>5</v>
      </c>
      <c r="H76" t="inlineStr">
        <is>
          <t>485672154529792</t>
        </is>
      </c>
      <c r="I76" t="inlineStr">
        <is>
          <t>4712318595548</t>
        </is>
      </c>
      <c r="J76" t="inlineStr">
        <is>
          <t>1021343</t>
        </is>
      </c>
      <c r="K76" t="inlineStr">
        <is>
          <t>10-橘子工坊</t>
        </is>
      </c>
      <c r="L76" t="inlineStr">
        <is>
          <t>Orange House 橘子工坊 天然濃縮制菌雙酵洗衣精 補充包, 1.5L, 1包</t>
        </is>
      </c>
      <c r="M76" t="n">
        <v>96</v>
      </c>
      <c r="N76" t="n">
        <v>96</v>
      </c>
      <c r="O76" t="inlineStr">
        <is>
          <t>包</t>
        </is>
      </c>
      <c r="P76" t="n">
        <v>6</v>
      </c>
      <c r="Q76">
        <f>N76/P76</f>
        <v/>
      </c>
      <c r="R76" s="1" t="n">
        <v>137</v>
      </c>
      <c r="S76" s="1" t="n">
        <v>137</v>
      </c>
      <c r="T76">
        <f>IF(R76=S76,"相符","不相符")</f>
        <v/>
      </c>
      <c r="V76">
        <f>P76*R76</f>
        <v/>
      </c>
      <c r="W76">
        <f>Q76*V76</f>
        <v/>
      </c>
      <c r="X76" t="n">
        <v>1095</v>
      </c>
      <c r="Y76" t="inlineStr">
        <is>
          <t>(M)-
(E)2028-02-23</t>
        </is>
      </c>
      <c r="Z76" t="inlineStr">
        <is>
          <t>Tip_system_shufflefail_snop_request</t>
        </is>
      </c>
      <c r="AC76" t="inlineStr">
        <is>
          <t>YYYY/MM/DD</t>
        </is>
      </c>
    </row>
    <row r="77">
      <c r="A77" t="inlineStr">
        <is>
          <t>一般</t>
        </is>
      </c>
      <c r="B77" t="inlineStr">
        <is>
          <t>瑪氏</t>
        </is>
      </c>
      <c r="C77" t="inlineStr">
        <is>
          <t>13000000447150</t>
        </is>
      </c>
      <c r="D77" t="inlineStr">
        <is>
          <t>TAO3</t>
        </is>
      </c>
      <c r="E77" t="inlineStr">
        <is>
          <t>桃園市大園區中山南路472號</t>
        </is>
      </c>
      <c r="F77" s="3" t="n">
        <v>46259</v>
      </c>
      <c r="G77" t="n">
        <v>1</v>
      </c>
      <c r="H77" t="inlineStr">
        <is>
          <t>122904213684244</t>
        </is>
      </c>
      <c r="I77" t="inlineStr">
        <is>
          <t>9310022866203</t>
        </is>
      </c>
      <c r="J77" t="inlineStr">
        <is>
          <t>M10273698</t>
        </is>
      </c>
      <c r="K77" t="inlineStr">
        <is>
          <t>whiskas 偉嘉</t>
        </is>
      </c>
      <c r="L77" t="inlineStr">
        <is>
          <t>whiskas 偉嘉 貓乾糧, 鮪魚(吞拿魚)總匯口味, 1歲以上成貓, 1.2kg, 1袋</t>
        </is>
      </c>
      <c r="M77" t="n">
        <v>2</v>
      </c>
      <c r="N77" t="n">
        <v>2</v>
      </c>
      <c r="O77" t="inlineStr">
        <is>
          <t>盒</t>
        </is>
      </c>
      <c r="P77" t="n">
        <v>6</v>
      </c>
      <c r="Q77">
        <f>N77/P77</f>
        <v/>
      </c>
      <c r="R77" s="1" t="n">
        <v>129</v>
      </c>
      <c r="S77" s="1" t="n">
        <v>129</v>
      </c>
      <c r="T77">
        <f>IF(R77=S77,"相符","不相符")</f>
        <v/>
      </c>
      <c r="U77" t="inlineStr">
        <is>
          <t>M10240887</t>
        </is>
      </c>
      <c r="V77">
        <f>P77*R77</f>
        <v/>
      </c>
      <c r="W77">
        <f>Q77*V77</f>
        <v/>
      </c>
      <c r="X77" t="n">
        <v>540</v>
      </c>
      <c r="Y77" t="inlineStr">
        <is>
          <t>(M)-
(E)2027-05-21</t>
        </is>
      </c>
      <c r="Z77" t="inlineStr">
        <is>
          <t>Tip_system_shufflefail_snop_request</t>
        </is>
      </c>
      <c r="AC77" t="inlineStr">
        <is>
          <t>DD/MM/YY</t>
        </is>
      </c>
    </row>
    <row r="78">
      <c r="A78" t="inlineStr">
        <is>
          <t>一般</t>
        </is>
      </c>
      <c r="B78" t="inlineStr">
        <is>
          <t>瑪氏</t>
        </is>
      </c>
      <c r="C78" t="inlineStr">
        <is>
          <t>13000000447150</t>
        </is>
      </c>
      <c r="D78" t="inlineStr">
        <is>
          <t>TAO3</t>
        </is>
      </c>
      <c r="E78" t="inlineStr">
        <is>
          <t>桃園市大園區中山南路472號</t>
        </is>
      </c>
      <c r="F78" s="3" t="n">
        <v>46259</v>
      </c>
      <c r="G78" t="n">
        <v>2</v>
      </c>
      <c r="H78" t="inlineStr">
        <is>
          <t>153740669566978</t>
        </is>
      </c>
      <c r="I78" t="inlineStr">
        <is>
          <t>4714686007654</t>
        </is>
      </c>
      <c r="J78" t="inlineStr">
        <is>
          <t>M10279580</t>
        </is>
      </c>
      <c r="K78" t="inlineStr">
        <is>
          <t>Cesar 西莎</t>
        </is>
      </c>
      <c r="L78" t="inlineStr">
        <is>
          <t>[箱裝] Cesar 西莎 精緻餐盒, 牛肉口味, 100g, 24罐</t>
        </is>
      </c>
      <c r="M78" t="n">
        <v>104</v>
      </c>
      <c r="N78" t="n">
        <v>104</v>
      </c>
      <c r="O78" t="inlineStr">
        <is>
          <t>盒</t>
        </is>
      </c>
      <c r="P78" t="n">
        <v>4</v>
      </c>
      <c r="Q78">
        <f>N78/P78</f>
        <v/>
      </c>
      <c r="R78" s="1" t="n">
        <v>555</v>
      </c>
      <c r="S78" s="1" t="n">
        <v>555</v>
      </c>
      <c r="T78">
        <f>IF(R78=S78,"相符","不相符")</f>
        <v/>
      </c>
      <c r="U78" t="inlineStr">
        <is>
          <t>M10279580</t>
        </is>
      </c>
      <c r="V78">
        <f>P78*R78</f>
        <v/>
      </c>
      <c r="W78">
        <f>Q78*V78</f>
        <v/>
      </c>
      <c r="X78" t="n">
        <v>730</v>
      </c>
      <c r="Y78" t="inlineStr">
        <is>
          <t>(M)-
(E)2027-08-24</t>
        </is>
      </c>
      <c r="Z78" t="inlineStr">
        <is>
          <t>Tip_system_shufflefail_snop_request</t>
        </is>
      </c>
      <c r="AC78" t="inlineStr">
        <is>
          <t>DD/MM/YY</t>
        </is>
      </c>
    </row>
    <row r="79">
      <c r="A79" t="inlineStr">
        <is>
          <t>一般</t>
        </is>
      </c>
      <c r="B79" t="inlineStr">
        <is>
          <t>瑪氏</t>
        </is>
      </c>
      <c r="C79" t="inlineStr">
        <is>
          <t>13000000447150</t>
        </is>
      </c>
      <c r="D79" t="inlineStr">
        <is>
          <t>TAO3</t>
        </is>
      </c>
      <c r="E79" t="inlineStr">
        <is>
          <t>桃園市大園區中山南路472號</t>
        </is>
      </c>
      <c r="F79" s="3" t="n">
        <v>46259</v>
      </c>
      <c r="G79" t="n">
        <v>3</v>
      </c>
      <c r="H79" t="inlineStr">
        <is>
          <t>153740686344192</t>
        </is>
      </c>
      <c r="I79" t="inlineStr">
        <is>
          <t>4902397812609</t>
        </is>
      </c>
      <c r="J79" t="inlineStr">
        <is>
          <t>M60002174</t>
        </is>
      </c>
      <c r="K79" t="inlineStr">
        <is>
          <t>Cesar 西莎</t>
        </is>
      </c>
      <c r="L79" t="inlineStr">
        <is>
          <t>[組出] Cesar 西莎 成犬 蒸鮮包, 低脂雞肉 + 蔬菜, 70g, 16包</t>
        </is>
      </c>
      <c r="M79" t="n">
        <v>250</v>
      </c>
      <c r="N79" t="n">
        <v>250</v>
      </c>
      <c r="O79" t="inlineStr">
        <is>
          <t>盒</t>
        </is>
      </c>
      <c r="P79" t="n">
        <v>10</v>
      </c>
      <c r="Q79">
        <f>N79/P79</f>
        <v/>
      </c>
      <c r="R79" s="1" t="n">
        <v>277</v>
      </c>
      <c r="S79" s="1" t="n">
        <v>277</v>
      </c>
      <c r="T79">
        <f>IF(R79=S79,"相符","不相符")</f>
        <v/>
      </c>
      <c r="U79" t="inlineStr">
        <is>
          <t>M10243524</t>
        </is>
      </c>
      <c r="V79">
        <f>P79*R79</f>
        <v/>
      </c>
      <c r="W79">
        <f>Q79*V79</f>
        <v/>
      </c>
      <c r="X79" t="n">
        <v>730</v>
      </c>
      <c r="Y79" t="inlineStr">
        <is>
          <t>(M)-
(E)2027-08-24</t>
        </is>
      </c>
      <c r="Z79" t="inlineStr">
        <is>
          <t>Tip_system_shufflefail_snop_request</t>
        </is>
      </c>
      <c r="AC79" t="inlineStr">
        <is>
          <t>YY/MM/DD</t>
        </is>
      </c>
    </row>
    <row r="80">
      <c r="A80" t="inlineStr">
        <is>
          <t>一般</t>
        </is>
      </c>
      <c r="B80" t="inlineStr">
        <is>
          <t>瑪氏</t>
        </is>
      </c>
      <c r="C80" t="inlineStr">
        <is>
          <t>13000000447150</t>
        </is>
      </c>
      <c r="D80" t="inlineStr">
        <is>
          <t>TAO3</t>
        </is>
      </c>
      <c r="E80" t="inlineStr">
        <is>
          <t>桃園市大園區中山南路472號</t>
        </is>
      </c>
      <c r="F80" s="3" t="n">
        <v>46259</v>
      </c>
      <c r="G80" t="n">
        <v>4</v>
      </c>
      <c r="H80" t="inlineStr">
        <is>
          <t>153740686344194</t>
        </is>
      </c>
      <c r="I80" t="inlineStr">
        <is>
          <t>4714686007753</t>
        </is>
      </c>
      <c r="J80" t="inlineStr">
        <is>
          <t>M10279578</t>
        </is>
      </c>
      <c r="K80" t="inlineStr">
        <is>
          <t>Cesar 西莎</t>
        </is>
      </c>
      <c r="L80" t="inlineStr">
        <is>
          <t>[箱裝] Cesar 西莎 風味餐盒, 南法野菜燉雞口味, 100g, 24罐</t>
        </is>
      </c>
      <c r="M80" t="n">
        <v>86</v>
      </c>
      <c r="N80" t="n">
        <v>86</v>
      </c>
      <c r="O80" t="inlineStr">
        <is>
          <t>盒</t>
        </is>
      </c>
      <c r="P80" t="n">
        <v>4</v>
      </c>
      <c r="Q80">
        <f>N80/P80</f>
        <v/>
      </c>
      <c r="R80" s="1" t="n">
        <v>555</v>
      </c>
      <c r="S80" s="1" t="n">
        <v>555</v>
      </c>
      <c r="T80">
        <f>IF(R80=S80,"相符","不相符")</f>
        <v/>
      </c>
      <c r="U80" t="inlineStr">
        <is>
          <t>M10279578</t>
        </is>
      </c>
      <c r="V80">
        <f>P80*R80</f>
        <v/>
      </c>
      <c r="W80">
        <f>Q80*V80</f>
        <v/>
      </c>
      <c r="X80" t="n">
        <v>730</v>
      </c>
      <c r="Y80" t="inlineStr">
        <is>
          <t>(M)-
(E)2027-08-19</t>
        </is>
      </c>
      <c r="Z80" t="inlineStr">
        <is>
          <t>Tip_system_shufflefail_snop_request</t>
        </is>
      </c>
      <c r="AC80" t="inlineStr">
        <is>
          <t>DD/MM/YY</t>
        </is>
      </c>
    </row>
    <row r="81">
      <c r="A81" t="inlineStr">
        <is>
          <t>一般</t>
        </is>
      </c>
      <c r="B81" t="inlineStr">
        <is>
          <t>瑪氏</t>
        </is>
      </c>
      <c r="C81" t="inlineStr">
        <is>
          <t>13000000447150</t>
        </is>
      </c>
      <c r="D81" t="inlineStr">
        <is>
          <t>TAO3</t>
        </is>
      </c>
      <c r="E81" t="inlineStr">
        <is>
          <t>桃園市大園區中山南路472號</t>
        </is>
      </c>
      <c r="F81" s="3" t="n">
        <v>46259</v>
      </c>
      <c r="G81" t="n">
        <v>5</v>
      </c>
      <c r="H81" t="inlineStr">
        <is>
          <t>153740686344197</t>
        </is>
      </c>
      <c r="I81" t="inlineStr">
        <is>
          <t>4902397838227</t>
        </is>
      </c>
      <c r="J81" t="inlineStr">
        <is>
          <t>M10230272</t>
        </is>
      </c>
      <c r="K81" t="inlineStr">
        <is>
          <t>Cesar 西莎</t>
        </is>
      </c>
      <c r="L81" t="inlineStr">
        <is>
          <t>[箱裝] Cesar 西莎 14歲以上超高齡犬 熟齡餐盒, 牛肉 + 蔬菜口味, 100g, 24罐</t>
        </is>
      </c>
      <c r="M81" t="n">
        <v>32</v>
      </c>
      <c r="N81" t="n">
        <v>32</v>
      </c>
      <c r="O81" t="inlineStr">
        <is>
          <t>盒</t>
        </is>
      </c>
      <c r="P81" t="n">
        <v>4</v>
      </c>
      <c r="Q81">
        <f>N81/P81</f>
        <v/>
      </c>
      <c r="R81" s="1" t="n">
        <v>555</v>
      </c>
      <c r="S81" s="1" t="n">
        <v>555</v>
      </c>
      <c r="T81">
        <f>IF(R81=S81,"相符","不相符")</f>
        <v/>
      </c>
      <c r="U81" t="inlineStr">
        <is>
          <t>M10230272</t>
        </is>
      </c>
      <c r="V81">
        <f>P81*R81</f>
        <v/>
      </c>
      <c r="W81">
        <f>Q81*V81</f>
        <v/>
      </c>
      <c r="X81" t="n">
        <v>730</v>
      </c>
      <c r="Y81" t="inlineStr">
        <is>
          <t>(M)-
(E)2027-08-24</t>
        </is>
      </c>
      <c r="Z81" t="inlineStr">
        <is>
          <t>Tip_system_shufflefail_snop_request</t>
        </is>
      </c>
      <c r="AC81" t="inlineStr">
        <is>
          <t>YY/MM/DD</t>
        </is>
      </c>
    </row>
    <row r="82">
      <c r="A82" t="inlineStr">
        <is>
          <t>一般</t>
        </is>
      </c>
      <c r="B82" t="inlineStr">
        <is>
          <t>瑪氏</t>
        </is>
      </c>
      <c r="C82" t="inlineStr">
        <is>
          <t>13000000447150</t>
        </is>
      </c>
      <c r="D82" t="inlineStr">
        <is>
          <t>TAO3</t>
        </is>
      </c>
      <c r="E82" t="inlineStr">
        <is>
          <t>桃園市大園區中山南路472號</t>
        </is>
      </c>
      <c r="F82" s="3" t="n">
        <v>46259</v>
      </c>
      <c r="G82" t="n">
        <v>6</v>
      </c>
      <c r="H82" t="inlineStr">
        <is>
          <t>153740690538507</t>
        </is>
      </c>
      <c r="I82" t="inlineStr">
        <is>
          <t>4902397839293</t>
        </is>
      </c>
      <c r="J82" t="inlineStr">
        <is>
          <t>M60002180</t>
        </is>
      </c>
      <c r="K82" t="inlineStr">
        <is>
          <t>Cesar 西莎</t>
        </is>
      </c>
      <c r="L82" t="inlineStr">
        <is>
          <t>[組出] Cesar 西莎 14歲以上成犬 蒸鮮包, 特細切雞肉及蔬菜, 70g, 16包</t>
        </is>
      </c>
      <c r="M82" t="n">
        <v>50</v>
      </c>
      <c r="N82" t="n">
        <v>50</v>
      </c>
      <c r="O82" t="inlineStr">
        <is>
          <t>盒</t>
        </is>
      </c>
      <c r="P82" t="n">
        <v>10</v>
      </c>
      <c r="Q82">
        <f>N82/P82</f>
        <v/>
      </c>
      <c r="R82" s="1" t="n">
        <v>277</v>
      </c>
      <c r="S82" s="1" t="n">
        <v>277</v>
      </c>
      <c r="T82">
        <f>IF(R82=S82,"相符","不相符")</f>
        <v/>
      </c>
      <c r="U82" t="inlineStr">
        <is>
          <t>M10243522</t>
        </is>
      </c>
      <c r="V82">
        <f>P82*R82</f>
        <v/>
      </c>
      <c r="W82">
        <f>Q82*V82</f>
        <v/>
      </c>
      <c r="X82" t="n">
        <v>730</v>
      </c>
      <c r="Y82" t="inlineStr">
        <is>
          <t>(M)-
(E)2027-08-19</t>
        </is>
      </c>
      <c r="Z82" t="inlineStr">
        <is>
          <t>Tip_system_shufflefail_snop_request</t>
        </is>
      </c>
      <c r="AC82" t="inlineStr">
        <is>
          <t>YY/MM/DD</t>
        </is>
      </c>
    </row>
    <row r="83">
      <c r="A83" t="inlineStr">
        <is>
          <t>一般</t>
        </is>
      </c>
      <c r="B83" t="inlineStr">
        <is>
          <t>瑪氏</t>
        </is>
      </c>
      <c r="C83" t="inlineStr">
        <is>
          <t>13000000447150</t>
        </is>
      </c>
      <c r="D83" t="inlineStr">
        <is>
          <t>TAO3</t>
        </is>
      </c>
      <c r="E83" t="inlineStr">
        <is>
          <t>桃園市大園區中山南路472號</t>
        </is>
      </c>
      <c r="F83" s="3" t="n">
        <v>46259</v>
      </c>
      <c r="G83" t="n">
        <v>7</v>
      </c>
      <c r="H83" t="inlineStr">
        <is>
          <t>153741449723904</t>
        </is>
      </c>
      <c r="I83" t="inlineStr">
        <is>
          <t>4714686007760</t>
        </is>
      </c>
      <c r="J83" t="inlineStr">
        <is>
          <t>M10204218</t>
        </is>
      </c>
      <c r="K83" t="inlineStr">
        <is>
          <t>Cesar 西莎</t>
        </is>
      </c>
      <c r="L83" t="inlineStr">
        <is>
          <t>[箱裝] Cesar 西莎 風味餐盒, 經典嫩烤火雞口味, 100g, 24罐</t>
        </is>
      </c>
      <c r="M83" t="n">
        <v>72</v>
      </c>
      <c r="N83" t="n">
        <v>72</v>
      </c>
      <c r="O83" t="inlineStr">
        <is>
          <t>盒</t>
        </is>
      </c>
      <c r="P83" t="n">
        <v>4</v>
      </c>
      <c r="Q83">
        <f>N83/P83</f>
        <v/>
      </c>
      <c r="R83" s="1" t="n">
        <v>555</v>
      </c>
      <c r="S83" s="1" t="n">
        <v>555</v>
      </c>
      <c r="T83">
        <f>IF(R83=S83,"相符","不相符")</f>
        <v/>
      </c>
      <c r="U83" t="inlineStr">
        <is>
          <t>M10204218</t>
        </is>
      </c>
      <c r="V83">
        <f>P83*R83</f>
        <v/>
      </c>
      <c r="W83">
        <f>Q83*V83</f>
        <v/>
      </c>
      <c r="X83" t="n">
        <v>730</v>
      </c>
      <c r="Y83" t="inlineStr">
        <is>
          <t>(M)-
(E)2027-08-24</t>
        </is>
      </c>
      <c r="Z83" t="inlineStr">
        <is>
          <t>Tip_system_shufflefail_snop_request</t>
        </is>
      </c>
      <c r="AC83" t="inlineStr">
        <is>
          <t>DD/MM/YY</t>
        </is>
      </c>
    </row>
    <row r="84">
      <c r="A84" t="inlineStr">
        <is>
          <t>一般</t>
        </is>
      </c>
      <c r="B84" t="inlineStr">
        <is>
          <t>瑪氏</t>
        </is>
      </c>
      <c r="C84" t="inlineStr">
        <is>
          <t>13000000447150</t>
        </is>
      </c>
      <c r="D84" t="inlineStr">
        <is>
          <t>TAO3</t>
        </is>
      </c>
      <c r="E84" t="inlineStr">
        <is>
          <t>桃園市大園區中山南路472號</t>
        </is>
      </c>
      <c r="F84" s="3" t="n">
        <v>46259</v>
      </c>
      <c r="G84" t="n">
        <v>8</v>
      </c>
      <c r="H84" t="inlineStr">
        <is>
          <t>276214220570626</t>
        </is>
      </c>
      <c r="I84" t="inlineStr">
        <is>
          <t>0642863041198</t>
        </is>
      </c>
      <c r="J84" t="inlineStr">
        <is>
          <t>M10225169</t>
        </is>
      </c>
      <c r="K84" t="inlineStr">
        <is>
          <t>Greenies 健綠</t>
        </is>
      </c>
      <c r="L84" t="inlineStr">
        <is>
          <t>Greenies 健綠 潔牙骨, 原味, 11~22kg 中型犬專用, 27oz, 1盒</t>
        </is>
      </c>
      <c r="M84" t="n">
        <v>46</v>
      </c>
      <c r="N84" t="n">
        <v>46</v>
      </c>
      <c r="O84" t="inlineStr">
        <is>
          <t>盒</t>
        </is>
      </c>
      <c r="P84" t="n">
        <v>12</v>
      </c>
      <c r="Q84">
        <f>N84/P84</f>
        <v/>
      </c>
      <c r="R84" s="1" t="n">
        <v>658</v>
      </c>
      <c r="S84" s="1" t="n">
        <v>658</v>
      </c>
      <c r="T84">
        <f>IF(R84=S84,"相符","不相符")</f>
        <v/>
      </c>
      <c r="U84" t="inlineStr">
        <is>
          <t>M10225169</t>
        </is>
      </c>
      <c r="V84">
        <f>P84*R84</f>
        <v/>
      </c>
      <c r="W84">
        <f>Q84*V84</f>
        <v/>
      </c>
      <c r="X84" t="n">
        <v>540</v>
      </c>
      <c r="Y84" t="inlineStr">
        <is>
          <t>(M)-
(E)2027-05-24</t>
        </is>
      </c>
      <c r="Z84" t="inlineStr">
        <is>
          <t>Tip_system_shufflefail_snop_request</t>
        </is>
      </c>
      <c r="AC84" t="inlineStr">
        <is>
          <t>DD/MM/YY</t>
        </is>
      </c>
    </row>
    <row r="85">
      <c r="A85" t="inlineStr">
        <is>
          <t>一般</t>
        </is>
      </c>
      <c r="B85" t="inlineStr">
        <is>
          <t>瑪氏</t>
        </is>
      </c>
      <c r="C85" t="inlineStr">
        <is>
          <t>13000000447150</t>
        </is>
      </c>
      <c r="D85" t="inlineStr">
        <is>
          <t>TAO3</t>
        </is>
      </c>
      <c r="E85" t="inlineStr">
        <is>
          <t>桃園市大園區中山南路472號</t>
        </is>
      </c>
      <c r="F85" s="3" t="n">
        <v>46259</v>
      </c>
      <c r="G85" t="n">
        <v>9</v>
      </c>
      <c r="H85" t="inlineStr">
        <is>
          <t>312120226840576</t>
        </is>
      </c>
      <c r="I85" t="inlineStr">
        <is>
          <t>4718201213780</t>
        </is>
      </c>
      <c r="J85" t="inlineStr">
        <is>
          <t>M60020655</t>
        </is>
      </c>
      <c r="K85" t="inlineStr">
        <is>
          <t>Airwaves</t>
        </is>
      </c>
      <c r="L85" t="inlineStr">
        <is>
          <t>[組出] Airwaves 超涼無糖口香糖 紫冰野莓口味, 28g, 5包</t>
        </is>
      </c>
      <c r="M85" t="n">
        <v>3240</v>
      </c>
      <c r="N85" t="n">
        <v>3240</v>
      </c>
      <c r="O85" t="inlineStr">
        <is>
          <t>盒</t>
        </is>
      </c>
      <c r="P85" t="n">
        <v>30</v>
      </c>
      <c r="Q85">
        <f>N85/P85</f>
        <v/>
      </c>
      <c r="R85" s="1" t="n">
        <v>107</v>
      </c>
      <c r="S85" s="1" t="n">
        <v>107</v>
      </c>
      <c r="T85">
        <f>IF(R85=S85,"相符","不相符")</f>
        <v/>
      </c>
      <c r="U85" t="inlineStr">
        <is>
          <t>M10254059</t>
        </is>
      </c>
      <c r="V85">
        <f>P85*R85</f>
        <v/>
      </c>
      <c r="W85">
        <f>Q85*V85</f>
        <v/>
      </c>
      <c r="X85" t="n">
        <v>365</v>
      </c>
      <c r="Y85" t="inlineStr">
        <is>
          <t>(M)-
(E)2027-03-31</t>
        </is>
      </c>
      <c r="Z85" t="inlineStr">
        <is>
          <t>Tip_system_shufflefail_snop_request</t>
        </is>
      </c>
      <c r="AC85" t="inlineStr">
        <is>
          <t>DD/MM/YY</t>
        </is>
      </c>
    </row>
    <row r="86">
      <c r="A86" t="inlineStr">
        <is>
          <t>一般</t>
        </is>
      </c>
      <c r="B86" t="inlineStr">
        <is>
          <t>瑪氏</t>
        </is>
      </c>
      <c r="C86" t="inlineStr">
        <is>
          <t>13000000447150</t>
        </is>
      </c>
      <c r="D86" t="inlineStr">
        <is>
          <t>TAO3</t>
        </is>
      </c>
      <c r="E86" t="inlineStr">
        <is>
          <t>桃園市大園區中山南路472號</t>
        </is>
      </c>
      <c r="F86" s="3" t="n">
        <v>46259</v>
      </c>
      <c r="G86" t="n">
        <v>10</v>
      </c>
      <c r="H86" t="inlineStr">
        <is>
          <t>312120478498816</t>
        </is>
      </c>
      <c r="I86" t="inlineStr">
        <is>
          <t>4718201213773</t>
        </is>
      </c>
      <c r="J86" t="inlineStr">
        <is>
          <t>M60019808</t>
        </is>
      </c>
      <c r="K86" t="inlineStr">
        <is>
          <t>Airwaves</t>
        </is>
      </c>
      <c r="L86" t="inlineStr">
        <is>
          <t>[組出] Airwaves 超涼無糖口香糖 超涼薄荷口味, 28g, 5包</t>
        </is>
      </c>
      <c r="M86" t="n">
        <v>660</v>
      </c>
      <c r="N86" t="n">
        <v>660</v>
      </c>
      <c r="O86" t="inlineStr">
        <is>
          <t>盒</t>
        </is>
      </c>
      <c r="P86" t="n">
        <v>30</v>
      </c>
      <c r="Q86">
        <f>N86/P86</f>
        <v/>
      </c>
      <c r="R86" s="1" t="n">
        <v>107</v>
      </c>
      <c r="S86" s="1" t="n">
        <v>107</v>
      </c>
      <c r="T86">
        <f>IF(R86=S86,"相符","不相符")</f>
        <v/>
      </c>
      <c r="U86" t="inlineStr">
        <is>
          <t>M10254049</t>
        </is>
      </c>
      <c r="V86">
        <f>P86*R86</f>
        <v/>
      </c>
      <c r="W86">
        <f>Q86*V86</f>
        <v/>
      </c>
      <c r="X86" t="n">
        <v>365</v>
      </c>
      <c r="Y86" t="inlineStr">
        <is>
          <t>(M)-
(E)2027-03-31</t>
        </is>
      </c>
      <c r="Z86" t="inlineStr">
        <is>
          <t>Tip_system_shufflefail_snop_request</t>
        </is>
      </c>
      <c r="AC86" t="inlineStr">
        <is>
          <t>DD/MM/YY</t>
        </is>
      </c>
    </row>
    <row r="87">
      <c r="A87" t="inlineStr">
        <is>
          <t>一般</t>
        </is>
      </c>
      <c r="B87" t="inlineStr">
        <is>
          <t>瑪氏</t>
        </is>
      </c>
      <c r="C87" t="inlineStr">
        <is>
          <t>13000000447150</t>
        </is>
      </c>
      <c r="D87" t="inlineStr">
        <is>
          <t>TAO3</t>
        </is>
      </c>
      <c r="E87" t="inlineStr">
        <is>
          <t>桃園市大園區中山南路472號</t>
        </is>
      </c>
      <c r="F87" s="3" t="n">
        <v>46259</v>
      </c>
      <c r="G87" t="n">
        <v>11</v>
      </c>
      <c r="H87" t="inlineStr">
        <is>
          <t>334113106001920</t>
        </is>
      </c>
      <c r="I87" t="inlineStr">
        <is>
          <t>19334214024995</t>
        </is>
      </c>
      <c r="J87" t="inlineStr">
        <is>
          <t>M10403052</t>
        </is>
      </c>
      <c r="K87" t="inlineStr">
        <is>
          <t>Sheba 希寶</t>
        </is>
      </c>
      <c r="L87" t="inlineStr">
        <is>
          <t>[箱裝]Sheba 希寶 鮮饌包 貓主食餐包, 鮪魚 + 蟹肉, 70g, 24包, 1箱</t>
        </is>
      </c>
      <c r="M87" t="n">
        <v>45</v>
      </c>
      <c r="N87" t="n">
        <v>45</v>
      </c>
      <c r="O87" t="inlineStr">
        <is>
          <t>箱</t>
        </is>
      </c>
      <c r="P87" t="n">
        <v>1</v>
      </c>
      <c r="Q87">
        <f>N87/P87</f>
        <v/>
      </c>
      <c r="R87" s="1" t="n">
        <v>438</v>
      </c>
      <c r="S87" s="1" t="n">
        <v>438</v>
      </c>
      <c r="T87">
        <f>IF(R87=S87,"相符","不相符")</f>
        <v/>
      </c>
      <c r="U87" t="inlineStr">
        <is>
          <t>M10208266-1</t>
        </is>
      </c>
      <c r="V87">
        <f>P87*R87</f>
        <v/>
      </c>
      <c r="W87">
        <f>Q87*V87</f>
        <v/>
      </c>
      <c r="X87" t="n">
        <v>730</v>
      </c>
      <c r="Y87" t="inlineStr">
        <is>
          <t>(M)2025-08-25
(E)2027-08-25</t>
        </is>
      </c>
      <c r="Z87" t="inlineStr">
        <is>
          <t>Tip_system_shufflefail_snop_request</t>
        </is>
      </c>
      <c r="AC87" t="inlineStr">
        <is>
          <t>DD/MM/YY</t>
        </is>
      </c>
    </row>
    <row r="88">
      <c r="A88" t="inlineStr">
        <is>
          <t>一般</t>
        </is>
      </c>
      <c r="B88" t="inlineStr">
        <is>
          <t>瑪氏</t>
        </is>
      </c>
      <c r="C88" t="inlineStr">
        <is>
          <t>13000000447150</t>
        </is>
      </c>
      <c r="D88" t="inlineStr">
        <is>
          <t>TAO3</t>
        </is>
      </c>
      <c r="E88" t="inlineStr">
        <is>
          <t>桃園市大園區中山南路472號</t>
        </is>
      </c>
      <c r="F88" s="3" t="n">
        <v>46259</v>
      </c>
      <c r="G88" t="n">
        <v>12</v>
      </c>
      <c r="H88" t="inlineStr">
        <is>
          <t>334113106018304</t>
        </is>
      </c>
      <c r="I88" t="inlineStr">
        <is>
          <t>19334214025008</t>
        </is>
      </c>
      <c r="J88" t="inlineStr">
        <is>
          <t>M10403049</t>
        </is>
      </c>
      <c r="K88" t="inlineStr">
        <is>
          <t>Sheba 希寶</t>
        </is>
      </c>
      <c r="L88" t="inlineStr">
        <is>
          <t>[箱裝]Sheba 希寶 鮮饌包 貓主食餐包, 鮪魚 + 鮭魚, 70g, 24包, 1箱</t>
        </is>
      </c>
      <c r="M88" t="n">
        <v>13</v>
      </c>
      <c r="N88" t="n">
        <v>13</v>
      </c>
      <c r="O88" t="inlineStr">
        <is>
          <t>箱</t>
        </is>
      </c>
      <c r="P88" t="n">
        <v>1</v>
      </c>
      <c r="Q88">
        <f>N88/P88</f>
        <v/>
      </c>
      <c r="R88" s="1" t="n">
        <v>438</v>
      </c>
      <c r="S88" s="1" t="n">
        <v>438</v>
      </c>
      <c r="T88">
        <f>IF(R88=S88,"相符","不相符")</f>
        <v/>
      </c>
      <c r="U88" t="inlineStr">
        <is>
          <t>M10208259-1</t>
        </is>
      </c>
      <c r="V88">
        <f>P88*R88</f>
        <v/>
      </c>
      <c r="W88">
        <f>Q88*V88</f>
        <v/>
      </c>
      <c r="X88" t="n">
        <v>730</v>
      </c>
      <c r="Y88" t="inlineStr">
        <is>
          <t>(M)-
(E)2027-08-25</t>
        </is>
      </c>
      <c r="Z88" t="inlineStr">
        <is>
          <t>Tip_system_shufflefail_snop_request</t>
        </is>
      </c>
      <c r="AC88" t="inlineStr">
        <is>
          <t>DD/MM/YY</t>
        </is>
      </c>
    </row>
    <row r="89">
      <c r="A89" t="inlineStr">
        <is>
          <t>一般</t>
        </is>
      </c>
      <c r="B89" t="inlineStr">
        <is>
          <t>瑪氏</t>
        </is>
      </c>
      <c r="C89" t="inlineStr">
        <is>
          <t>13000000447150</t>
        </is>
      </c>
      <c r="D89" t="inlineStr">
        <is>
          <t>TAO3</t>
        </is>
      </c>
      <c r="E89" t="inlineStr">
        <is>
          <t>桃園市大園區中山南路472號</t>
        </is>
      </c>
      <c r="F89" s="3" t="n">
        <v>46259</v>
      </c>
      <c r="G89" t="n">
        <v>13</v>
      </c>
      <c r="H89" t="inlineStr">
        <is>
          <t>461367559536649</t>
        </is>
      </c>
      <c r="I89" t="inlineStr">
        <is>
          <t>8853301002608</t>
        </is>
      </c>
      <c r="J89" t="inlineStr">
        <is>
          <t>M60003652</t>
        </is>
      </c>
      <c r="K89" t="inlineStr">
        <is>
          <t>Temptations 喵愛餡</t>
        </is>
      </c>
      <c r="L89" t="inlineStr">
        <is>
          <t>Temptations 喵愛餡 貓點心, 化毛口味, 130g, 1包</t>
        </is>
      </c>
      <c r="M89" t="n">
        <v>570</v>
      </c>
      <c r="N89" t="n">
        <v>570</v>
      </c>
      <c r="O89" t="inlineStr">
        <is>
          <t>包</t>
        </is>
      </c>
      <c r="P89" t="n">
        <v>40</v>
      </c>
      <c r="Q89">
        <f>N89/P89</f>
        <v/>
      </c>
      <c r="R89" s="1" t="n">
        <v>117</v>
      </c>
      <c r="S89" s="1" t="n">
        <v>117</v>
      </c>
      <c r="T89">
        <f>IF(R89=S89,"相符","不相符")</f>
        <v/>
      </c>
      <c r="U89" t="inlineStr">
        <is>
          <t>M10290724</t>
        </is>
      </c>
      <c r="V89">
        <f>P89*R89</f>
        <v/>
      </c>
      <c r="W89">
        <f>Q89*V89</f>
        <v/>
      </c>
      <c r="X89" t="n">
        <v>540</v>
      </c>
      <c r="Y89" t="inlineStr">
        <is>
          <t>(M)-
(E)2027-05-24</t>
        </is>
      </c>
      <c r="Z89" t="inlineStr">
        <is>
          <t>Tip_system_shufflefail_snop_request</t>
        </is>
      </c>
      <c r="AC89" t="inlineStr">
        <is>
          <t>DD/MM/YY</t>
        </is>
      </c>
    </row>
    <row r="90">
      <c r="A90" t="inlineStr">
        <is>
          <t>一般</t>
        </is>
      </c>
      <c r="B90" t="inlineStr">
        <is>
          <t>瑪氏</t>
        </is>
      </c>
      <c r="C90" t="inlineStr">
        <is>
          <t>13000000447150</t>
        </is>
      </c>
      <c r="D90" t="inlineStr">
        <is>
          <t>TAO3</t>
        </is>
      </c>
      <c r="E90" t="inlineStr">
        <is>
          <t>桃園市大園區中山南路472號</t>
        </is>
      </c>
      <c r="F90" s="3" t="n">
        <v>46259</v>
      </c>
      <c r="G90" t="n">
        <v>14</v>
      </c>
      <c r="H90" t="inlineStr">
        <is>
          <t>522244895791654</t>
        </is>
      </c>
      <c r="I90" t="inlineStr">
        <is>
          <t>16914973706368</t>
        </is>
      </c>
      <c r="J90" t="inlineStr">
        <is>
          <t>M10403201</t>
        </is>
      </c>
      <c r="K90" t="inlineStr">
        <is>
          <t>Sheba 希寶</t>
        </is>
      </c>
      <c r="L90" t="inlineStr">
        <is>
          <t>[箱裝]Sheba 希寶 主食貓罐頭, 雞肉慕斯佐牛肝, 70g, 24罐</t>
        </is>
      </c>
      <c r="M90" t="n">
        <v>5</v>
      </c>
      <c r="N90" t="n">
        <v>5</v>
      </c>
      <c r="O90" t="inlineStr">
        <is>
          <t>箱</t>
        </is>
      </c>
      <c r="P90" t="n">
        <v>1</v>
      </c>
      <c r="Q90">
        <f>N90/P90</f>
        <v/>
      </c>
      <c r="R90" s="1" t="n">
        <v>635</v>
      </c>
      <c r="S90" s="1" t="n">
        <v>635</v>
      </c>
      <c r="T90">
        <f>IF(R90=S90,"相符","不相符")</f>
        <v/>
      </c>
      <c r="U90" t="inlineStr">
        <is>
          <t>M10403201</t>
        </is>
      </c>
      <c r="V90">
        <f>P90*R90</f>
        <v/>
      </c>
      <c r="W90">
        <f>Q90*V90</f>
        <v/>
      </c>
      <c r="X90" t="n">
        <v>730</v>
      </c>
      <c r="Y90" t="inlineStr">
        <is>
          <t>(M)2025-08-25
(E)2027-08-24</t>
        </is>
      </c>
      <c r="Z90" t="inlineStr">
        <is>
          <t>Tip_system_shufflefail_snop_request</t>
        </is>
      </c>
      <c r="AC90" t="inlineStr">
        <is>
          <t>DD/MM/YY</t>
        </is>
      </c>
    </row>
    <row r="91">
      <c r="A91" t="inlineStr">
        <is>
          <t>一般</t>
        </is>
      </c>
      <c r="B91" t="inlineStr">
        <is>
          <t>瑪氏</t>
        </is>
      </c>
      <c r="C91" t="inlineStr">
        <is>
          <t>13000000447083</t>
        </is>
      </c>
      <c r="D91" t="inlineStr">
        <is>
          <t>TAO6</t>
        </is>
      </c>
      <c r="E91" t="inlineStr">
        <is>
          <t>桃園市大園區航翔路115號5樓</t>
        </is>
      </c>
      <c r="F91" s="3" t="n">
        <v>46253</v>
      </c>
      <c r="G91" t="n">
        <v>1</v>
      </c>
      <c r="H91" t="inlineStr">
        <is>
          <t>154361103613956</t>
        </is>
      </c>
      <c r="I91" t="inlineStr">
        <is>
          <t>19310022725705</t>
        </is>
      </c>
      <c r="J91" t="inlineStr">
        <is>
          <t>M10205199</t>
        </is>
      </c>
      <c r="K91" t="inlineStr">
        <is>
          <t>Pedigree 寶路</t>
        </is>
      </c>
      <c r="L91" t="inlineStr">
        <is>
          <t>[箱裝] Pedigree 寶路 成犬罐頭, 雞肉, 400g, 24罐</t>
        </is>
      </c>
      <c r="M91" t="n">
        <v>20</v>
      </c>
      <c r="N91" t="n">
        <v>20</v>
      </c>
      <c r="O91" t="inlineStr">
        <is>
          <t>箱</t>
        </is>
      </c>
      <c r="P91" t="n">
        <v>1</v>
      </c>
      <c r="Q91">
        <f>N91/P91</f>
        <v/>
      </c>
      <c r="R91" s="1" t="n">
        <v>960</v>
      </c>
      <c r="S91" s="1" t="n">
        <v>960</v>
      </c>
      <c r="T91">
        <f>IF(R91=S91,"相符","不相符")</f>
        <v/>
      </c>
      <c r="U91" t="inlineStr">
        <is>
          <t>M10205199-1</t>
        </is>
      </c>
      <c r="V91">
        <f>P91*R91</f>
        <v/>
      </c>
      <c r="W91">
        <f>Q91*V91</f>
        <v/>
      </c>
      <c r="X91" t="n">
        <v>730</v>
      </c>
      <c r="Y91" t="inlineStr">
        <is>
          <t>(M)-
(E)2027-08-18</t>
        </is>
      </c>
      <c r="Z91" t="inlineStr">
        <is>
          <t>Tip_system_shufflefail_snop_request</t>
        </is>
      </c>
      <c r="AC91" t="inlineStr">
        <is>
          <t>DD/MM/YY</t>
        </is>
      </c>
    </row>
    <row r="92">
      <c r="A92" t="inlineStr">
        <is>
          <t>一般</t>
        </is>
      </c>
      <c r="B92" t="inlineStr">
        <is>
          <t>CPG-紙品</t>
        </is>
      </c>
      <c r="C92" t="inlineStr">
        <is>
          <t>13000000447055</t>
        </is>
      </c>
      <c r="D92" t="inlineStr">
        <is>
          <t>TXRC8</t>
        </is>
      </c>
      <c r="E92" t="inlineStr">
        <is>
          <t>桃園市楊梅區環東路200號C區4樓</t>
        </is>
      </c>
      <c r="F92" s="3" t="n">
        <v>46258</v>
      </c>
      <c r="G92" t="n">
        <v>1</v>
      </c>
      <c r="H92" t="inlineStr">
        <is>
          <t>204080764928002</t>
        </is>
      </c>
      <c r="I92" t="inlineStr">
        <is>
          <t>4710104007176</t>
        </is>
      </c>
      <c r="J92" t="inlineStr">
        <is>
          <t>0102366</t>
        </is>
      </c>
      <c r="K92" t="inlineStr">
        <is>
          <t>01-五月花</t>
        </is>
      </c>
      <c r="L92" t="inlineStr">
        <is>
          <t>[箱裝]五月花 新柔韌抽取衛生紙, 100抽, 10包, 6袋</t>
        </is>
      </c>
      <c r="M92" t="n">
        <v>244</v>
      </c>
      <c r="N92" t="n">
        <v>244</v>
      </c>
      <c r="O92" t="inlineStr">
        <is>
          <t>箱</t>
        </is>
      </c>
      <c r="P92" t="n">
        <v>1</v>
      </c>
      <c r="Q92">
        <f>N92/P92</f>
        <v/>
      </c>
      <c r="R92" s="1" t="n">
        <v>569</v>
      </c>
      <c r="S92" s="1" t="n">
        <v>569</v>
      </c>
      <c r="T92">
        <f>IF(R92=S92,"相符","不相符")</f>
        <v/>
      </c>
      <c r="V92">
        <f>P92*R92</f>
        <v/>
      </c>
      <c r="W92">
        <f>Q92*V92</f>
        <v/>
      </c>
      <c r="X92" t="n">
        <v>1825</v>
      </c>
      <c r="Y92" t="inlineStr">
        <is>
          <t>(M)-
(E)2029-02-21</t>
        </is>
      </c>
      <c r="Z92" t="inlineStr">
        <is>
          <t>Tip_system_shufflefail_snop_request</t>
        </is>
      </c>
      <c r="AC92" t="inlineStr">
        <is>
          <t>YYYY/MM/DD</t>
        </is>
      </c>
    </row>
    <row r="93">
      <c r="A93" t="inlineStr">
        <is>
          <t>一般</t>
        </is>
      </c>
      <c r="B93" t="inlineStr">
        <is>
          <t>瑪氏</t>
        </is>
      </c>
      <c r="C93" t="inlineStr">
        <is>
          <t>13000000446942</t>
        </is>
      </c>
      <c r="D93" t="inlineStr">
        <is>
          <t>TAO3</t>
        </is>
      </c>
      <c r="E93" t="inlineStr">
        <is>
          <t>桃園市大園區中山南路472號</t>
        </is>
      </c>
      <c r="F93" s="3" t="n">
        <v>46260</v>
      </c>
      <c r="G93" t="n">
        <v>1</v>
      </c>
      <c r="H93" t="inlineStr">
        <is>
          <t>153741470695427</t>
        </is>
      </c>
      <c r="I93" t="inlineStr">
        <is>
          <t>4902397812517</t>
        </is>
      </c>
      <c r="J93" t="inlineStr">
        <is>
          <t>M60002173</t>
        </is>
      </c>
      <c r="K93" t="inlineStr">
        <is>
          <t>Cesar 西莎</t>
        </is>
      </c>
      <c r="L93" t="inlineStr">
        <is>
          <t>[組出] Cesar 西莎 成犬 蒸鮮包, 低脂雞肉, 70g, 16包</t>
        </is>
      </c>
      <c r="M93" t="n">
        <v>720</v>
      </c>
      <c r="N93" t="n">
        <v>720</v>
      </c>
      <c r="O93" t="inlineStr">
        <is>
          <t>盒</t>
        </is>
      </c>
      <c r="P93" t="n">
        <v>10</v>
      </c>
      <c r="Q93">
        <f>N93/P93</f>
        <v/>
      </c>
      <c r="R93" s="1" t="n">
        <v>277</v>
      </c>
      <c r="S93" s="1" t="n">
        <v>277</v>
      </c>
      <c r="T93">
        <f>IF(R93=S93,"相符","不相符")</f>
        <v/>
      </c>
      <c r="U93" t="inlineStr">
        <is>
          <t>M10243523</t>
        </is>
      </c>
      <c r="V93">
        <f>P93*R93</f>
        <v/>
      </c>
      <c r="W93">
        <f>Q93*V93</f>
        <v/>
      </c>
      <c r="X93" t="n">
        <v>730</v>
      </c>
      <c r="Y93" t="inlineStr">
        <is>
          <t>(M)-
(E)2027-08-25</t>
        </is>
      </c>
      <c r="Z93" t="inlineStr">
        <is>
          <t>Tip_system_shufflefail_snop_request</t>
        </is>
      </c>
      <c r="AC93" t="inlineStr">
        <is>
          <t>YY/MM/DD</t>
        </is>
      </c>
    </row>
    <row r="94">
      <c r="A94" t="inlineStr">
        <is>
          <t>一般</t>
        </is>
      </c>
      <c r="B94" t="inlineStr">
        <is>
          <t>瑪氏</t>
        </is>
      </c>
      <c r="C94" t="inlineStr">
        <is>
          <t>13000000446942</t>
        </is>
      </c>
      <c r="D94" t="inlineStr">
        <is>
          <t>TAO3</t>
        </is>
      </c>
      <c r="E94" t="inlineStr">
        <is>
          <t>桃園市大園區中山南路472號</t>
        </is>
      </c>
      <c r="F94" s="3" t="n">
        <v>46260</v>
      </c>
      <c r="G94" t="n">
        <v>2</v>
      </c>
      <c r="H94" t="inlineStr">
        <is>
          <t>153741596524544</t>
        </is>
      </c>
      <c r="I94" t="inlineStr">
        <is>
          <t>4714686007692</t>
        </is>
      </c>
      <c r="J94" t="inlineStr">
        <is>
          <t>M10204215</t>
        </is>
      </c>
      <c r="K94" t="inlineStr">
        <is>
          <t>Cesar 西莎</t>
        </is>
      </c>
      <c r="L94" t="inlineStr">
        <is>
          <t>[箱裝] Cesar 西莎 風味餐盒, 田園香米燉牛肉口味, 100g, 24罐</t>
        </is>
      </c>
      <c r="M94" t="n">
        <v>36</v>
      </c>
      <c r="N94" t="n">
        <v>36</v>
      </c>
      <c r="O94" t="inlineStr">
        <is>
          <t>盒</t>
        </is>
      </c>
      <c r="P94" t="n">
        <v>4</v>
      </c>
      <c r="Q94">
        <f>N94/P94</f>
        <v/>
      </c>
      <c r="R94" s="1" t="n">
        <v>555</v>
      </c>
      <c r="S94" s="1" t="n">
        <v>555</v>
      </c>
      <c r="T94">
        <f>IF(R94=S94,"相符","不相符")</f>
        <v/>
      </c>
      <c r="U94" t="inlineStr">
        <is>
          <t>M10204215</t>
        </is>
      </c>
      <c r="V94">
        <f>P94*R94</f>
        <v/>
      </c>
      <c r="W94">
        <f>Q94*V94</f>
        <v/>
      </c>
      <c r="X94" t="n">
        <v>730</v>
      </c>
      <c r="Y94" t="inlineStr">
        <is>
          <t>(M)-
(E)2027-08-25</t>
        </is>
      </c>
      <c r="Z94" t="inlineStr">
        <is>
          <t>Tip_system_shufflefail_snop_request</t>
        </is>
      </c>
      <c r="AC94" t="inlineStr">
        <is>
          <t>DD/MM/YY</t>
        </is>
      </c>
    </row>
    <row r="95">
      <c r="A95" t="inlineStr">
        <is>
          <t>一般</t>
        </is>
      </c>
      <c r="B95" t="inlineStr">
        <is>
          <t>瑪氏</t>
        </is>
      </c>
      <c r="C95" t="inlineStr">
        <is>
          <t>13000000446942</t>
        </is>
      </c>
      <c r="D95" t="inlineStr">
        <is>
          <t>TAO3</t>
        </is>
      </c>
      <c r="E95" t="inlineStr">
        <is>
          <t>桃園市大園區中山南路472號</t>
        </is>
      </c>
      <c r="F95" s="3" t="n">
        <v>46260</v>
      </c>
      <c r="G95" t="n">
        <v>3</v>
      </c>
      <c r="H95" t="inlineStr">
        <is>
          <t>334113110196224</t>
        </is>
      </c>
      <c r="I95" t="inlineStr">
        <is>
          <t>19334214025015</t>
        </is>
      </c>
      <c r="J95" t="inlineStr">
        <is>
          <t>M10406572</t>
        </is>
      </c>
      <c r="K95" t="inlineStr">
        <is>
          <t>Sheba 希寶</t>
        </is>
      </c>
      <c r="L95" t="inlineStr">
        <is>
          <t>[箱裝]Sheba 希寶 鮮饌包 貓主食餐包, 鮪魚 + 雞肉 + 扇貝, 70g, 24包, 1箱</t>
        </is>
      </c>
      <c r="M95" t="n">
        <v>78</v>
      </c>
      <c r="N95" t="n">
        <v>78</v>
      </c>
      <c r="O95" t="inlineStr">
        <is>
          <t>箱</t>
        </is>
      </c>
      <c r="P95" t="n">
        <v>1</v>
      </c>
      <c r="Q95">
        <f>N95/P95</f>
        <v/>
      </c>
      <c r="R95" s="1" t="n">
        <v>438</v>
      </c>
      <c r="S95" s="1" t="n">
        <v>438</v>
      </c>
      <c r="T95">
        <f>IF(R95=S95,"相符","不相符")</f>
        <v/>
      </c>
      <c r="U95" t="inlineStr">
        <is>
          <t>M10406572</t>
        </is>
      </c>
      <c r="V95">
        <f>P95*R95</f>
        <v/>
      </c>
      <c r="W95">
        <f>Q95*V95</f>
        <v/>
      </c>
      <c r="X95" t="n">
        <v>730</v>
      </c>
      <c r="Y95" t="inlineStr">
        <is>
          <t>(M)-
(E)2027-08-25</t>
        </is>
      </c>
      <c r="Z95" t="inlineStr">
        <is>
          <t>Tip_system_shufflefail_snop_request</t>
        </is>
      </c>
      <c r="AC95" t="inlineStr">
        <is>
          <t>DD/MM/YY</t>
        </is>
      </c>
    </row>
    <row r="96">
      <c r="A96" t="inlineStr">
        <is>
          <t>一般</t>
        </is>
      </c>
      <c r="B96" t="inlineStr">
        <is>
          <t>瑪氏</t>
        </is>
      </c>
      <c r="C96" t="inlineStr">
        <is>
          <t>13000000446942</t>
        </is>
      </c>
      <c r="D96" t="inlineStr">
        <is>
          <t>TAO3</t>
        </is>
      </c>
      <c r="E96" t="inlineStr">
        <is>
          <t>桃園市大園區中山南路472號</t>
        </is>
      </c>
      <c r="F96" s="3" t="n">
        <v>46260</v>
      </c>
      <c r="G96" t="n">
        <v>4</v>
      </c>
      <c r="H96" t="inlineStr">
        <is>
          <t>488123276378112</t>
        </is>
      </c>
      <c r="I96" t="inlineStr">
        <is>
          <t>18853301550014</t>
        </is>
      </c>
      <c r="J96" t="inlineStr">
        <is>
          <t>M10274007</t>
        </is>
      </c>
      <c r="K96" t="inlineStr">
        <is>
          <t>whiskas 偉嘉</t>
        </is>
      </c>
      <c r="L96" t="inlineStr">
        <is>
          <t>[箱裝]Whiskas 偉嘉 妙鮮包 鮪魚, 80g, 24包</t>
        </is>
      </c>
      <c r="M96" t="n">
        <v>12</v>
      </c>
      <c r="N96" t="n">
        <v>12</v>
      </c>
      <c r="O96" t="inlineStr">
        <is>
          <t>箱</t>
        </is>
      </c>
      <c r="P96" t="n">
        <v>1</v>
      </c>
      <c r="Q96">
        <f>N96/P96</f>
        <v/>
      </c>
      <c r="R96" s="1" t="n">
        <v>394</v>
      </c>
      <c r="S96" s="1" t="n">
        <v>394</v>
      </c>
      <c r="T96">
        <f>IF(R96=S96,"相符","不相符")</f>
        <v/>
      </c>
      <c r="U96" t="inlineStr">
        <is>
          <t>M10274007</t>
        </is>
      </c>
      <c r="V96">
        <f>P96*R96</f>
        <v/>
      </c>
      <c r="W96">
        <f>Q96*V96</f>
        <v/>
      </c>
      <c r="X96" t="n">
        <v>730</v>
      </c>
      <c r="Y96" t="inlineStr">
        <is>
          <t>(M)-
(E)2027-08-25</t>
        </is>
      </c>
      <c r="Z96" t="inlineStr">
        <is>
          <t>Tip_system_shufflefail_snop_request</t>
        </is>
      </c>
      <c r="AC96" t="inlineStr">
        <is>
          <t>DD/MM/YY</t>
        </is>
      </c>
    </row>
    <row r="97">
      <c r="A97" t="inlineStr">
        <is>
          <t>一般</t>
        </is>
      </c>
      <c r="B97" t="inlineStr">
        <is>
          <t>瑪氏</t>
        </is>
      </c>
      <c r="C97" t="inlineStr">
        <is>
          <t>13000000446942</t>
        </is>
      </c>
      <c r="D97" t="inlineStr">
        <is>
          <t>TAO3</t>
        </is>
      </c>
      <c r="E97" t="inlineStr">
        <is>
          <t>桃園市大園區中山南路472號</t>
        </is>
      </c>
      <c r="F97" s="3" t="n">
        <v>46260</v>
      </c>
      <c r="G97" t="n">
        <v>5</v>
      </c>
      <c r="H97" t="inlineStr">
        <is>
          <t>522244896300377</t>
        </is>
      </c>
      <c r="I97" t="inlineStr">
        <is>
          <t>8853301001601</t>
        </is>
      </c>
      <c r="J97" t="inlineStr">
        <is>
          <t>M60024930</t>
        </is>
      </c>
      <c r="K97" t="inlineStr">
        <is>
          <t>Temptations 喵愛餡</t>
        </is>
      </c>
      <c r="L97" t="inlineStr">
        <is>
          <t>Temptations 喵愛餡 貓點心, 160g, 香誘鮮鮪口味, 1個</t>
        </is>
      </c>
      <c r="M97" t="n">
        <v>200</v>
      </c>
      <c r="N97" t="n">
        <v>200</v>
      </c>
      <c r="O97" t="inlineStr">
        <is>
          <t>包</t>
        </is>
      </c>
      <c r="P97" t="n">
        <v>40</v>
      </c>
      <c r="Q97">
        <f>N97/P97</f>
        <v/>
      </c>
      <c r="R97" s="1" t="n">
        <v>118.2</v>
      </c>
      <c r="S97" s="1" t="n">
        <v>118</v>
      </c>
      <c r="T97">
        <f>IF(R97=S97,"相符","不相符")</f>
        <v/>
      </c>
      <c r="U97" t="inlineStr">
        <is>
          <t>M60024930</t>
        </is>
      </c>
      <c r="V97">
        <f>P97*R97</f>
        <v/>
      </c>
      <c r="W97">
        <f>Q97*V97</f>
        <v/>
      </c>
      <c r="X97" t="n">
        <v>540</v>
      </c>
      <c r="Y97" t="inlineStr">
        <is>
          <t>(M)2025-11-27
(E)2027-05-25</t>
        </is>
      </c>
      <c r="Z97" t="inlineStr">
        <is>
          <t>Tip_system_shufflefail_snop_request</t>
        </is>
      </c>
      <c r="AC97" t="inlineStr">
        <is>
          <t>DD/MM/YY</t>
        </is>
      </c>
    </row>
    <row r="98">
      <c r="A98" t="inlineStr">
        <is>
          <t>一般</t>
        </is>
      </c>
      <c r="B98" t="inlineStr">
        <is>
          <t>CPG-紙品</t>
        </is>
      </c>
      <c r="C98" t="inlineStr">
        <is>
          <t>13000000446476</t>
        </is>
      </c>
      <c r="D98" t="inlineStr">
        <is>
          <t>TAO17</t>
        </is>
      </c>
      <c r="E98" t="inlineStr">
        <is>
          <t>桃園市大園區開和路128號5樓, 7樓</t>
        </is>
      </c>
      <c r="F98" s="3" t="n">
        <v>46255</v>
      </c>
      <c r="G98" t="n">
        <v>1</v>
      </c>
      <c r="H98" t="inlineStr">
        <is>
          <t>123251321683979</t>
        </is>
      </c>
      <c r="I98" t="inlineStr">
        <is>
          <t>4710104106107</t>
        </is>
      </c>
      <c r="J98" t="inlineStr">
        <is>
          <t>0104083</t>
        </is>
      </c>
      <c r="K98" t="inlineStr">
        <is>
          <t>01-五月花</t>
        </is>
      </c>
      <c r="L98" t="inlineStr">
        <is>
          <t>五月花超強韌廚房紙巾60張,6捲,1袋</t>
        </is>
      </c>
      <c r="M98" t="n">
        <v>864</v>
      </c>
      <c r="N98" t="n">
        <v>864</v>
      </c>
      <c r="O98" t="inlineStr">
        <is>
          <t>袋</t>
        </is>
      </c>
      <c r="P98" t="n">
        <v>8</v>
      </c>
      <c r="Q98">
        <f>N98/P98</f>
        <v/>
      </c>
      <c r="R98" s="1" t="n">
        <v>82</v>
      </c>
      <c r="S98" s="1" t="n">
        <v>82</v>
      </c>
      <c r="T98">
        <f>IF(R98=S98,"相符","不相符")</f>
        <v/>
      </c>
      <c r="U98" t="inlineStr">
        <is>
          <t>包裝升級(舊料號0104047順轉)</t>
        </is>
      </c>
      <c r="V98">
        <f>P98*R98</f>
        <v/>
      </c>
      <c r="W98">
        <f>Q98*V98</f>
        <v/>
      </c>
      <c r="X98" t="n">
        <v>1825</v>
      </c>
      <c r="Y98" t="inlineStr">
        <is>
          <t>(M)-
(E)2029-02-18</t>
        </is>
      </c>
      <c r="Z98" t="inlineStr">
        <is>
          <t>Tip_system</t>
        </is>
      </c>
      <c r="AC98" t="inlineStr">
        <is>
          <t>YYYY/MM/DD</t>
        </is>
      </c>
    </row>
    <row r="99">
      <c r="A99" t="inlineStr">
        <is>
          <t>一般</t>
        </is>
      </c>
      <c r="B99" t="inlineStr">
        <is>
          <t>CPG-紙品</t>
        </is>
      </c>
      <c r="C99" t="inlineStr">
        <is>
          <t>13000000446476</t>
        </is>
      </c>
      <c r="D99" t="inlineStr">
        <is>
          <t>TAO17</t>
        </is>
      </c>
      <c r="E99" t="inlineStr">
        <is>
          <t>桃園市大園區開和路128號5樓, 7樓</t>
        </is>
      </c>
      <c r="F99" s="3" t="n">
        <v>46255</v>
      </c>
      <c r="G99" t="n">
        <v>2</v>
      </c>
      <c r="H99" t="inlineStr">
        <is>
          <t>123251590152199</t>
        </is>
      </c>
      <c r="I99" t="inlineStr">
        <is>
          <t>4710104020267</t>
        </is>
      </c>
      <c r="J99" t="inlineStr">
        <is>
          <t>0102388</t>
        </is>
      </c>
      <c r="K99" t="inlineStr">
        <is>
          <t>01-五月花</t>
        </is>
      </c>
      <c r="L99" t="inlineStr">
        <is>
          <t>五月花頂級蓬厚柔三層抽取衛生紙100抽x24包-玫瑰果油</t>
        </is>
      </c>
      <c r="M99" t="n">
        <v>432</v>
      </c>
      <c r="N99" t="n">
        <v>432</v>
      </c>
      <c r="O99" t="inlineStr">
        <is>
          <t>袋</t>
        </is>
      </c>
      <c r="P99" t="n">
        <v>3</v>
      </c>
      <c r="Q99">
        <f>N99/P99</f>
        <v/>
      </c>
      <c r="R99" s="1" t="n">
        <v>315</v>
      </c>
      <c r="S99" s="1" t="n">
        <v>315</v>
      </c>
      <c r="T99">
        <f>IF(R99=S99,"相符","不相符")</f>
        <v/>
      </c>
      <c r="U99" t="inlineStr">
        <is>
          <t>舊料號0102371/0102379順轉</t>
        </is>
      </c>
      <c r="V99">
        <f>P99*R99</f>
        <v/>
      </c>
      <c r="W99">
        <f>Q99*V99</f>
        <v/>
      </c>
      <c r="X99" t="n">
        <v>1825</v>
      </c>
      <c r="Y99" t="inlineStr">
        <is>
          <t>(M)-
(E)2029-02-18</t>
        </is>
      </c>
      <c r="Z99" t="inlineStr">
        <is>
          <t>Tip_system</t>
        </is>
      </c>
      <c r="AC99" t="inlineStr">
        <is>
          <t>YYYY/MM/DD</t>
        </is>
      </c>
    </row>
    <row r="100">
      <c r="A100" t="inlineStr">
        <is>
          <t>一般</t>
        </is>
      </c>
      <c r="B100" t="inlineStr">
        <is>
          <t>CPG-紙品</t>
        </is>
      </c>
      <c r="C100" t="inlineStr">
        <is>
          <t>13000000446476</t>
        </is>
      </c>
      <c r="D100" t="inlineStr">
        <is>
          <t>TAO17</t>
        </is>
      </c>
      <c r="E100" t="inlineStr">
        <is>
          <t>桃園市大園區開和路128號5樓, 7樓</t>
        </is>
      </c>
      <c r="F100" s="3" t="n">
        <v>46255</v>
      </c>
      <c r="G100" t="n">
        <v>3</v>
      </c>
      <c r="H100" t="inlineStr">
        <is>
          <t>151563968397312</t>
        </is>
      </c>
      <c r="I100" t="inlineStr">
        <is>
          <t>4710104009132</t>
        </is>
      </c>
      <c r="J100" t="inlineStr">
        <is>
          <t>0104048</t>
        </is>
      </c>
      <c r="K100" t="inlineStr">
        <is>
          <t>01-五月花</t>
        </is>
      </c>
      <c r="L100" t="inlineStr">
        <is>
          <t>五月花 妙用廚房紙巾, 112張, 6捲</t>
        </is>
      </c>
      <c r="M100" t="n">
        <v>1600</v>
      </c>
      <c r="N100" t="n">
        <v>1600</v>
      </c>
      <c r="O100" t="inlineStr">
        <is>
          <t>袋</t>
        </is>
      </c>
      <c r="P100" t="n">
        <v>8</v>
      </c>
      <c r="Q100">
        <f>N100/P100</f>
        <v/>
      </c>
      <c r="R100" s="1" t="n">
        <v>82</v>
      </c>
      <c r="S100" s="1" t="n">
        <v>82</v>
      </c>
      <c r="T100">
        <f>IF(R100=S100,"相符","不相符")</f>
        <v/>
      </c>
      <c r="U100" t="inlineStr">
        <is>
          <t>新料0104084=&gt; 包裝升級(舊料號0104048順轉)</t>
        </is>
      </c>
      <c r="V100">
        <f>P100*R100</f>
        <v/>
      </c>
      <c r="W100">
        <f>Q100*V100</f>
        <v/>
      </c>
      <c r="X100" t="n">
        <v>1825</v>
      </c>
      <c r="Y100" t="inlineStr">
        <is>
          <t>(M)-
(E)2029-02-18</t>
        </is>
      </c>
      <c r="Z100" t="inlineStr">
        <is>
          <t>Tip_system</t>
        </is>
      </c>
      <c r="AC100" t="inlineStr">
        <is>
          <t>YYYY/MM/DD</t>
        </is>
      </c>
    </row>
    <row r="101">
      <c r="A101" t="inlineStr">
        <is>
          <t>一般</t>
        </is>
      </c>
      <c r="B101" t="inlineStr">
        <is>
          <t>CPG-紙品</t>
        </is>
      </c>
      <c r="C101" t="inlineStr">
        <is>
          <t>13000000446428</t>
        </is>
      </c>
      <c r="D101" t="inlineStr">
        <is>
          <t>TXRC8</t>
        </is>
      </c>
      <c r="E101" t="inlineStr">
        <is>
          <t>桃園市楊梅區環東路200號C區4樓</t>
        </is>
      </c>
      <c r="F101" s="3" t="n">
        <v>46256</v>
      </c>
      <c r="G101" t="n">
        <v>1</v>
      </c>
      <c r="H101" t="inlineStr">
        <is>
          <t>123251321683979</t>
        </is>
      </c>
      <c r="I101" t="inlineStr">
        <is>
          <t>4710104106107</t>
        </is>
      </c>
      <c r="J101" t="inlineStr">
        <is>
          <t>0104083</t>
        </is>
      </c>
      <c r="K101" t="inlineStr">
        <is>
          <t>01-五月花</t>
        </is>
      </c>
      <c r="L101" t="inlineStr">
        <is>
          <t>五月花超強韌廚房紙巾60張,6捲,1袋</t>
        </is>
      </c>
      <c r="M101" t="n">
        <v>432</v>
      </c>
      <c r="N101" t="n">
        <v>432</v>
      </c>
      <c r="O101" t="inlineStr">
        <is>
          <t>袋</t>
        </is>
      </c>
      <c r="P101" t="n">
        <v>8</v>
      </c>
      <c r="Q101">
        <f>N101/P101</f>
        <v/>
      </c>
      <c r="R101" s="1" t="n">
        <v>82</v>
      </c>
      <c r="S101" s="1" t="n">
        <v>82</v>
      </c>
      <c r="T101">
        <f>IF(R101=S101,"相符","不相符")</f>
        <v/>
      </c>
      <c r="U101" t="inlineStr">
        <is>
          <t>包裝升級(舊料號0104047順轉)</t>
        </is>
      </c>
      <c r="V101">
        <f>P101*R101</f>
        <v/>
      </c>
      <c r="W101">
        <f>Q101*V101</f>
        <v/>
      </c>
      <c r="X101" t="n">
        <v>1825</v>
      </c>
      <c r="Y101" t="inlineStr">
        <is>
          <t>(M)-
(E)2029-02-19</t>
        </is>
      </c>
      <c r="Z101" t="inlineStr">
        <is>
          <t>Tip_system</t>
        </is>
      </c>
      <c r="AC101" t="inlineStr">
        <is>
          <t>YYYY/MM/DD</t>
        </is>
      </c>
    </row>
    <row r="102">
      <c r="A102" t="inlineStr">
        <is>
          <t>一般</t>
        </is>
      </c>
      <c r="B102" t="inlineStr">
        <is>
          <t>CPG-紙品</t>
        </is>
      </c>
      <c r="C102" t="inlineStr">
        <is>
          <t>13000000446428</t>
        </is>
      </c>
      <c r="D102" t="inlineStr">
        <is>
          <t>TXRC8</t>
        </is>
      </c>
      <c r="E102" t="inlineStr">
        <is>
          <t>桃園市楊梅區環東路200號C區4樓</t>
        </is>
      </c>
      <c r="F102" s="3" t="n">
        <v>46256</v>
      </c>
      <c r="G102" t="n">
        <v>2</v>
      </c>
      <c r="H102" t="inlineStr">
        <is>
          <t>123251590152199</t>
        </is>
      </c>
      <c r="I102" t="inlineStr">
        <is>
          <t>4710104020267</t>
        </is>
      </c>
      <c r="J102" t="inlineStr">
        <is>
          <t>0102388</t>
        </is>
      </c>
      <c r="K102" t="inlineStr">
        <is>
          <t>01-五月花</t>
        </is>
      </c>
      <c r="L102" t="inlineStr">
        <is>
          <t>五月花頂級蓬厚柔三層抽取衛生紙100抽x24包-玫瑰果油</t>
        </is>
      </c>
      <c r="M102" t="n">
        <v>30</v>
      </c>
      <c r="N102" t="n">
        <v>30</v>
      </c>
      <c r="O102" t="inlineStr">
        <is>
          <t>袋</t>
        </is>
      </c>
      <c r="P102" t="n">
        <v>3</v>
      </c>
      <c r="Q102">
        <f>N102/P102</f>
        <v/>
      </c>
      <c r="R102" s="1" t="n">
        <v>315</v>
      </c>
      <c r="S102" s="1" t="n">
        <v>315</v>
      </c>
      <c r="T102">
        <f>IF(R102=S102,"相符","不相符")</f>
        <v/>
      </c>
      <c r="U102" t="inlineStr">
        <is>
          <t>舊料號0102371/0102379順轉</t>
        </is>
      </c>
      <c r="V102">
        <f>P102*R102</f>
        <v/>
      </c>
      <c r="W102">
        <f>Q102*V102</f>
        <v/>
      </c>
      <c r="X102" t="n">
        <v>1825</v>
      </c>
      <c r="Y102" t="inlineStr">
        <is>
          <t>(M)-
(E)2029-02-19</t>
        </is>
      </c>
      <c r="Z102" t="inlineStr">
        <is>
          <t>Tip_system</t>
        </is>
      </c>
      <c r="AC102" t="inlineStr">
        <is>
          <t>YYYY/MM/DD</t>
        </is>
      </c>
    </row>
    <row r="103">
      <c r="A103" t="inlineStr">
        <is>
          <t>一般</t>
        </is>
      </c>
      <c r="B103" t="inlineStr">
        <is>
          <t>CPG-紙品</t>
        </is>
      </c>
      <c r="C103" t="inlineStr">
        <is>
          <t>13000000446428</t>
        </is>
      </c>
      <c r="D103" t="inlineStr">
        <is>
          <t>TXRC8</t>
        </is>
      </c>
      <c r="E103" t="inlineStr">
        <is>
          <t>桃園市楊梅區環東路200號C區4樓</t>
        </is>
      </c>
      <c r="F103" s="3" t="n">
        <v>46256</v>
      </c>
      <c r="G103" t="n">
        <v>3</v>
      </c>
      <c r="H103" t="inlineStr">
        <is>
          <t>151563968397312</t>
        </is>
      </c>
      <c r="I103" t="inlineStr">
        <is>
          <t>4710104009132</t>
        </is>
      </c>
      <c r="J103" t="inlineStr">
        <is>
          <t>0104048</t>
        </is>
      </c>
      <c r="K103" t="inlineStr">
        <is>
          <t>01-五月花</t>
        </is>
      </c>
      <c r="L103" t="inlineStr">
        <is>
          <t>五月花 妙用廚房紙巾, 112張, 6捲</t>
        </is>
      </c>
      <c r="M103" t="n">
        <v>32</v>
      </c>
      <c r="N103" t="n">
        <v>32</v>
      </c>
      <c r="O103" t="inlineStr">
        <is>
          <t>袋</t>
        </is>
      </c>
      <c r="P103" t="n">
        <v>8</v>
      </c>
      <c r="Q103">
        <f>N103/P103</f>
        <v/>
      </c>
      <c r="R103" s="1" t="n">
        <v>82</v>
      </c>
      <c r="S103" s="1" t="n">
        <v>82</v>
      </c>
      <c r="T103">
        <f>IF(R103=S103,"相符","不相符")</f>
        <v/>
      </c>
      <c r="U103" t="inlineStr">
        <is>
          <t>新料0104084=&gt; 包裝升級(舊料號0104048順轉)</t>
        </is>
      </c>
      <c r="V103">
        <f>P103*R103</f>
        <v/>
      </c>
      <c r="W103">
        <f>Q103*V103</f>
        <v/>
      </c>
      <c r="X103" t="n">
        <v>1825</v>
      </c>
      <c r="Y103" t="inlineStr">
        <is>
          <t>(M)-
(E)2029-02-19</t>
        </is>
      </c>
      <c r="Z103" t="inlineStr">
        <is>
          <t>Tip_system</t>
        </is>
      </c>
      <c r="AC103" t="inlineStr">
        <is>
          <t>YYYY/MM/DD</t>
        </is>
      </c>
    </row>
    <row r="104">
      <c r="A104" t="inlineStr">
        <is>
          <t>一般</t>
        </is>
      </c>
      <c r="B104" t="inlineStr">
        <is>
          <t>CPG-紙品</t>
        </is>
      </c>
      <c r="C104" t="inlineStr">
        <is>
          <t>13000000446411</t>
        </is>
      </c>
      <c r="D104" t="inlineStr">
        <is>
          <t>TXRC8</t>
        </is>
      </c>
      <c r="E104" t="inlineStr">
        <is>
          <t>桃園市楊梅區環東路200號C區4樓</t>
        </is>
      </c>
      <c r="F104" s="3" t="n">
        <v>46254</v>
      </c>
      <c r="G104" t="n">
        <v>1</v>
      </c>
      <c r="H104" t="inlineStr">
        <is>
          <t>204080764928002</t>
        </is>
      </c>
      <c r="I104" t="inlineStr">
        <is>
          <t>4710104007176</t>
        </is>
      </c>
      <c r="J104" t="inlineStr">
        <is>
          <t>0102366</t>
        </is>
      </c>
      <c r="K104" t="inlineStr">
        <is>
          <t>01-五月花</t>
        </is>
      </c>
      <c r="L104" t="inlineStr">
        <is>
          <t>[箱裝]五月花 新柔韌抽取衛生紙, 100抽, 10包, 6袋</t>
        </is>
      </c>
      <c r="M104" t="n">
        <v>12</v>
      </c>
      <c r="N104" t="n">
        <v>12</v>
      </c>
      <c r="O104" t="inlineStr">
        <is>
          <t>箱</t>
        </is>
      </c>
      <c r="P104" t="n">
        <v>1</v>
      </c>
      <c r="Q104">
        <f>N104/P104</f>
        <v/>
      </c>
      <c r="R104" s="1" t="n">
        <v>569</v>
      </c>
      <c r="S104" s="1" t="n">
        <v>569</v>
      </c>
      <c r="T104">
        <f>IF(R104=S104,"相符","不相符")</f>
        <v/>
      </c>
      <c r="V104">
        <f>P104*R104</f>
        <v/>
      </c>
      <c r="W104">
        <f>Q104*V104</f>
        <v/>
      </c>
      <c r="X104" t="n">
        <v>1825</v>
      </c>
      <c r="Y104" t="inlineStr">
        <is>
          <t>(M)-
(E)2029-02-17</t>
        </is>
      </c>
      <c r="Z104" t="inlineStr">
        <is>
          <t>Tip_system</t>
        </is>
      </c>
      <c r="AC104" t="inlineStr">
        <is>
          <t>YYYY/MM/DD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2026-08-13T09:07:49Z</dcterms:created>
  <dcterms:modified xsi:type="dcterms:W3CDTF">2026-08-19T01:49:28Z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2.1.3</vt:lpwstr>
  </property>
</Properties>
</file>