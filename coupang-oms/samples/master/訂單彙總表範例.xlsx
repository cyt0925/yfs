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e.chou\Desktop\新增資料夾\"/>
    </mc:Choice>
  </mc:AlternateContent>
  <xr:revisionPtr revIDLastSave="0" documentId="13_ncr:1_{B042BCE3-8033-4D4D-A061-80AE0BACE6CE}" xr6:coauthVersionLast="36" xr6:coauthVersionMax="36" xr10:uidLastSave="{00000000-0000-0000-0000-000000000000}"/>
  <bookViews>
    <workbookView xWindow="0" yWindow="0" windowWidth="19200" windowHeight="6760" xr2:uid="{00000000-000D-0000-FFFF-FFFF00000000}"/>
  </bookViews>
  <sheets>
    <sheet name="整合表" sheetId="1" r:id="rId1"/>
  </sheets>
  <calcPr calcId="191029"/>
</workbook>
</file>

<file path=xl/calcChain.xml><?xml version="1.0" encoding="utf-8"?>
<calcChain xmlns="http://schemas.openxmlformats.org/spreadsheetml/2006/main">
  <c r="V54" i="1" l="1"/>
  <c r="T54" i="1"/>
  <c r="Q54" i="1"/>
  <c r="W54" i="1" s="1"/>
  <c r="V53" i="1"/>
  <c r="T53" i="1"/>
  <c r="Q53" i="1"/>
  <c r="W53" i="1" s="1"/>
  <c r="V52" i="1"/>
  <c r="T52" i="1"/>
  <c r="Q52" i="1"/>
  <c r="W52" i="1" s="1"/>
  <c r="V51" i="1"/>
  <c r="T51" i="1"/>
  <c r="Q51" i="1"/>
  <c r="W51" i="1" s="1"/>
  <c r="V50" i="1"/>
  <c r="T50" i="1"/>
  <c r="Q50" i="1"/>
  <c r="W50" i="1" s="1"/>
  <c r="V49" i="1"/>
  <c r="T49" i="1"/>
  <c r="Q49" i="1"/>
  <c r="W49" i="1" s="1"/>
  <c r="V48" i="1"/>
  <c r="T48" i="1"/>
  <c r="Q48" i="1"/>
  <c r="W48" i="1" s="1"/>
  <c r="V47" i="1"/>
  <c r="T47" i="1"/>
  <c r="Q47" i="1"/>
  <c r="W47" i="1" s="1"/>
  <c r="V46" i="1"/>
  <c r="T46" i="1"/>
  <c r="Q46" i="1"/>
  <c r="W46" i="1" s="1"/>
  <c r="V45" i="1"/>
  <c r="T45" i="1"/>
  <c r="Q45" i="1"/>
  <c r="W45" i="1" s="1"/>
  <c r="V44" i="1"/>
  <c r="T44" i="1"/>
  <c r="Q44" i="1"/>
  <c r="W44" i="1" s="1"/>
  <c r="V43" i="1"/>
  <c r="T43" i="1"/>
  <c r="Q43" i="1"/>
  <c r="W43" i="1" s="1"/>
  <c r="V42" i="1"/>
  <c r="T42" i="1"/>
  <c r="Q42" i="1"/>
  <c r="W42" i="1" s="1"/>
  <c r="V41" i="1"/>
  <c r="T41" i="1"/>
  <c r="Q41" i="1"/>
  <c r="W41" i="1" s="1"/>
  <c r="V40" i="1"/>
  <c r="T40" i="1"/>
  <c r="Q40" i="1"/>
  <c r="W40" i="1" s="1"/>
  <c r="V39" i="1"/>
  <c r="T39" i="1"/>
  <c r="Q39" i="1"/>
  <c r="W39" i="1" s="1"/>
  <c r="V38" i="1"/>
  <c r="T38" i="1"/>
  <c r="Q38" i="1"/>
  <c r="W38" i="1" s="1"/>
  <c r="V37" i="1"/>
  <c r="T37" i="1"/>
  <c r="Q37" i="1"/>
  <c r="W37" i="1" s="1"/>
  <c r="V36" i="1"/>
  <c r="T36" i="1"/>
  <c r="Q36" i="1"/>
  <c r="W36" i="1" s="1"/>
  <c r="V35" i="1"/>
  <c r="T35" i="1"/>
  <c r="Q35" i="1"/>
  <c r="W35" i="1" s="1"/>
  <c r="V34" i="1"/>
  <c r="T34" i="1"/>
  <c r="Q34" i="1"/>
  <c r="W34" i="1" s="1"/>
  <c r="V33" i="1"/>
  <c r="T33" i="1"/>
  <c r="Q33" i="1"/>
  <c r="W33" i="1" s="1"/>
  <c r="V32" i="1"/>
  <c r="T32" i="1"/>
  <c r="Q32" i="1"/>
  <c r="W32" i="1" s="1"/>
  <c r="V31" i="1"/>
  <c r="T31" i="1"/>
  <c r="Q31" i="1"/>
  <c r="W31" i="1" s="1"/>
  <c r="V30" i="1"/>
  <c r="T30" i="1"/>
  <c r="Q30" i="1"/>
  <c r="W30" i="1" s="1"/>
  <c r="V29" i="1"/>
  <c r="T29" i="1"/>
  <c r="Q29" i="1"/>
  <c r="W29" i="1" s="1"/>
  <c r="V28" i="1"/>
  <c r="T28" i="1"/>
  <c r="Q28" i="1"/>
  <c r="W28" i="1" s="1"/>
  <c r="V27" i="1"/>
  <c r="T27" i="1"/>
  <c r="Q27" i="1"/>
  <c r="W27" i="1" s="1"/>
  <c r="V26" i="1"/>
  <c r="T26" i="1"/>
  <c r="Q26" i="1"/>
  <c r="W26" i="1" s="1"/>
  <c r="V25" i="1"/>
  <c r="T25" i="1"/>
  <c r="Q25" i="1"/>
  <c r="W25" i="1" s="1"/>
  <c r="V24" i="1"/>
  <c r="T24" i="1"/>
  <c r="Q24" i="1"/>
  <c r="W24" i="1" s="1"/>
  <c r="V23" i="1"/>
  <c r="T23" i="1"/>
  <c r="Q23" i="1"/>
  <c r="W23" i="1" s="1"/>
  <c r="V22" i="1"/>
  <c r="T22" i="1"/>
  <c r="Q22" i="1"/>
  <c r="W22" i="1" s="1"/>
  <c r="V21" i="1"/>
  <c r="T21" i="1"/>
  <c r="Q21" i="1"/>
  <c r="W21" i="1" s="1"/>
  <c r="V20" i="1"/>
  <c r="T20" i="1"/>
  <c r="Q20" i="1"/>
  <c r="W20" i="1" s="1"/>
  <c r="V19" i="1"/>
  <c r="T19" i="1"/>
  <c r="Q19" i="1"/>
  <c r="W19" i="1" s="1"/>
  <c r="V18" i="1"/>
  <c r="T18" i="1"/>
  <c r="Q18" i="1"/>
  <c r="W18" i="1" s="1"/>
  <c r="V17" i="1"/>
  <c r="T17" i="1"/>
  <c r="Q17" i="1"/>
  <c r="W17" i="1" s="1"/>
  <c r="V16" i="1"/>
  <c r="T16" i="1"/>
  <c r="Q16" i="1"/>
  <c r="W16" i="1" s="1"/>
  <c r="V15" i="1"/>
  <c r="T15" i="1"/>
  <c r="Q15" i="1"/>
  <c r="W15" i="1" s="1"/>
  <c r="V14" i="1"/>
  <c r="T14" i="1"/>
  <c r="Q14" i="1"/>
  <c r="W14" i="1" s="1"/>
  <c r="V13" i="1"/>
  <c r="T13" i="1"/>
  <c r="Q13" i="1"/>
  <c r="W13" i="1" s="1"/>
  <c r="V12" i="1"/>
  <c r="T12" i="1"/>
  <c r="Q12" i="1"/>
  <c r="W12" i="1" s="1"/>
  <c r="V11" i="1"/>
  <c r="T11" i="1"/>
  <c r="Q11" i="1"/>
  <c r="W11" i="1" s="1"/>
  <c r="V10" i="1"/>
  <c r="T10" i="1"/>
  <c r="Q10" i="1"/>
  <c r="W10" i="1" s="1"/>
  <c r="V9" i="1"/>
  <c r="T9" i="1"/>
  <c r="Q9" i="1"/>
  <c r="W9" i="1" s="1"/>
  <c r="V8" i="1"/>
  <c r="T8" i="1"/>
  <c r="Q8" i="1"/>
  <c r="W8" i="1" s="1"/>
  <c r="V7" i="1"/>
  <c r="T7" i="1"/>
  <c r="Q7" i="1"/>
  <c r="W7" i="1" s="1"/>
  <c r="V6" i="1"/>
  <c r="T6" i="1"/>
  <c r="Q6" i="1"/>
  <c r="W6" i="1" s="1"/>
  <c r="V5" i="1"/>
  <c r="T5" i="1"/>
  <c r="Q5" i="1"/>
  <c r="W5" i="1" s="1"/>
  <c r="V4" i="1"/>
  <c r="T4" i="1"/>
  <c r="Q4" i="1"/>
  <c r="W4" i="1" s="1"/>
  <c r="V3" i="1"/>
  <c r="T3" i="1"/>
  <c r="Q3" i="1"/>
  <c r="W3" i="1" s="1"/>
  <c r="V2" i="1"/>
  <c r="T2" i="1"/>
  <c r="Q2" i="1"/>
  <c r="W2" i="1" s="1"/>
</calcChain>
</file>

<file path=xl/sharedStrings.xml><?xml version="1.0" encoding="utf-8"?>
<sst xmlns="http://schemas.openxmlformats.org/spreadsheetml/2006/main" count="764" uniqueCount="231">
  <si>
    <t>訂單類型</t>
  </si>
  <si>
    <t>線別</t>
  </si>
  <si>
    <t>PO單號</t>
  </si>
  <si>
    <t>到貨倉別</t>
  </si>
  <si>
    <t>地址</t>
  </si>
  <si>
    <t>交付日期</t>
  </si>
  <si>
    <t>NO</t>
  </si>
  <si>
    <t>SKU ID</t>
  </si>
  <si>
    <t>條碼(國條)</t>
  </si>
  <si>
    <t>永豐料號</t>
  </si>
  <si>
    <t>品牌</t>
  </si>
  <si>
    <t>品名</t>
  </si>
  <si>
    <t>下單數量(酷澎單位)</t>
  </si>
  <si>
    <t>出貨數量</t>
  </si>
  <si>
    <t>單位</t>
  </si>
  <si>
    <t>箱入數</t>
  </si>
  <si>
    <t>箱數</t>
  </si>
  <si>
    <t>酷澎下單單價(含稅)</t>
  </si>
  <si>
    <t>業務報價單價(含稅)</t>
  </si>
  <si>
    <t>核對單價</t>
  </si>
  <si>
    <t>報價備註</t>
  </si>
  <si>
    <t>箱單價(含稅)</t>
  </si>
  <si>
    <t>總計(含稅)</t>
  </si>
  <si>
    <t>總效期天數(day)</t>
  </si>
  <si>
    <t>允收效期</t>
  </si>
  <si>
    <t>備註</t>
  </si>
  <si>
    <t>有效期限</t>
  </si>
  <si>
    <t>製造日期</t>
  </si>
  <si>
    <t>日期格式</t>
  </si>
  <si>
    <t>瑪氏效期表Id</t>
  </si>
  <si>
    <t>一般</t>
  </si>
  <si>
    <t>13000000370677</t>
  </si>
  <si>
    <t>TAO1</t>
  </si>
  <si>
    <t>桃園市大園區建國路102號4樓 B棟(倉儲棟)</t>
  </si>
  <si>
    <t>522244896373892</t>
  </si>
  <si>
    <t>6903148355923</t>
  </si>
  <si>
    <t>whisper 好自在 無痕早安褲 內褲型, XL, 3片, 1個</t>
  </si>
  <si>
    <t>(M)2025-01-22
(E)2028-01-21</t>
  </si>
  <si>
    <t>P&amp;G</t>
  </si>
  <si>
    <t>寶僑</t>
  </si>
  <si>
    <t>13000000370676</t>
  </si>
  <si>
    <t>149768982462464</t>
  </si>
  <si>
    <t>6903148182406</t>
  </si>
  <si>
    <t>whisper 好自在</t>
  </si>
  <si>
    <t>[DS]好自在隱型清新護墊 淡香 40片,1包</t>
  </si>
  <si>
    <t>袋</t>
  </si>
  <si>
    <t>(M)-
(E)2027-07-23</t>
  </si>
  <si>
    <t>YY/MM/DD</t>
  </si>
  <si>
    <t>254098020483075</t>
  </si>
  <si>
    <t>4987176122865</t>
  </si>
  <si>
    <t>[DS]whisper 好自在 熊抱安睡42.5cm 量多夜用,7片,1包</t>
  </si>
  <si>
    <t>(M)-
(E)2028-01-22</t>
  </si>
  <si>
    <t>254098880299011</t>
  </si>
  <si>
    <t>4987176122858</t>
  </si>
  <si>
    <t>[DS]whisper 好自在 台灣公司貨 熊抱安睡36cm量多夜用10片, 1包</t>
  </si>
  <si>
    <t>324773687001088</t>
  </si>
  <si>
    <t>4987176179258</t>
  </si>
  <si>
    <t>[DS]whisper 好自在 台灣公司貨 INFINITY液體衛生棉 超長夜用 34cm, 10片, 夜用型, 1盒</t>
  </si>
  <si>
    <t>324773687050240</t>
  </si>
  <si>
    <t>4987176177858</t>
  </si>
  <si>
    <t>[DS]whisper 好自在 Radiant清新淨味 液體衛生棉/巾 棉柔表層 量多超薄 日用型, 27cm, 9片, 1盒</t>
  </si>
  <si>
    <t>518995954335746</t>
  </si>
  <si>
    <t>6903148357040</t>
  </si>
  <si>
    <t>[DS]whisper 好自在 台灣公司貨 Air Dry Fresh 草本健康衛生棉 日用普通, 24cm, 20片, 1袋</t>
  </si>
  <si>
    <t>(M)2025-01-23
(E)2028-01-22</t>
  </si>
  <si>
    <t>522244895873196</t>
  </si>
  <si>
    <t>4987176274168</t>
  </si>
  <si>
    <t>Gillette 吉列</t>
  </si>
  <si>
    <t>Gillette 吉列 SkinGuard 紳適系列刮鬍刀頭, 4個, 1組</t>
  </si>
  <si>
    <t>個</t>
  </si>
  <si>
    <t>(M)-
(E)-</t>
  </si>
  <si>
    <t>522244896166679</t>
  </si>
  <si>
    <t>14987176340907</t>
  </si>
  <si>
    <t>4987176340900</t>
  </si>
  <si>
    <t>ARIEL</t>
  </si>
  <si>
    <t>[箱裝][DS]ARIEL 台灣公司貨 超濃縮 新升級 抗菌洗衣精補充包, 抗菌去漬型, 1690g, 6包</t>
  </si>
  <si>
    <t>箱</t>
  </si>
  <si>
    <t>(M)2025-07-24
(E)2027-07-23</t>
  </si>
  <si>
    <t>522244896175852</t>
  </si>
  <si>
    <t>ARIEL 原廠公司貨 抗菌洗衣精補充包 抗菌去漬型, 1690g, 1個</t>
  </si>
  <si>
    <t>包</t>
  </si>
  <si>
    <t>522244896175857</t>
  </si>
  <si>
    <t>4987176340870</t>
  </si>
  <si>
    <t>ARIEL 原廠公司貨 抗菌洗衣精補充包 高效除蟎, 1690g, 1個</t>
  </si>
  <si>
    <t>522244896175861</t>
  </si>
  <si>
    <t>4987176337153</t>
  </si>
  <si>
    <t>ARIEL 原廠公司貨 4D抗菌洗衣膠囊補充包 抗菌去漬型, 30個裝, 1套</t>
  </si>
  <si>
    <t>(M)2025-10-25
(E)2027-04-22</t>
  </si>
  <si>
    <t>522244896175863</t>
  </si>
  <si>
    <t>4987176337160</t>
  </si>
  <si>
    <t>ARIEL 原廠公司貨 4D抗菌洗衣膠囊補充包 室內晾衣型, 30個裝, 1套</t>
  </si>
  <si>
    <t>522244896205156</t>
  </si>
  <si>
    <t>6903148224090</t>
  </si>
  <si>
    <t>whisper 好自在 經典款 液體衛生棉 量多日用型 27cm, 日用, 16片, 1個</t>
  </si>
  <si>
    <t>522244896294063</t>
  </si>
  <si>
    <t>6903148352700</t>
  </si>
  <si>
    <t>whisper 好自在 無痕奢柔褲 內褲型, M~L, 3片, 1個</t>
  </si>
  <si>
    <t>522244896294093</t>
  </si>
  <si>
    <t>6903148355954</t>
  </si>
  <si>
    <t>whisper 好自在 無痕早安褲 內褲型, M~L, 3片, 1個</t>
  </si>
  <si>
    <t>522244896295297</t>
  </si>
  <si>
    <t>4987176372222</t>
  </si>
  <si>
    <t>whisper 好自在 無痕早安褲 內褲型, M~L, 3片, 6包</t>
  </si>
  <si>
    <t>組</t>
  </si>
  <si>
    <t>522244896295310</t>
  </si>
  <si>
    <t>4987176372192</t>
  </si>
  <si>
    <t>whisper 好自在 無痕奢柔褲 內褲型, M~L, 3片, 6包</t>
  </si>
  <si>
    <t>522244896295326</t>
  </si>
  <si>
    <t>4987176372130</t>
  </si>
  <si>
    <t>whisper 好自在 無痕奢柔褲 內褲型, XL, 3片, 6包</t>
  </si>
  <si>
    <t>522244896295333</t>
  </si>
  <si>
    <t>4987176372307</t>
  </si>
  <si>
    <t>whisper 好自在 熊抱安睡褲 L, 夜用, 8片, 3包</t>
  </si>
  <si>
    <t>522244896295340</t>
  </si>
  <si>
    <t>4987176372062</t>
  </si>
  <si>
    <t>whisper 好自在 熊抱安睡褲 M, 夜用, 8片, 3包</t>
  </si>
  <si>
    <t>522244896295342</t>
  </si>
  <si>
    <t>4987176372321</t>
  </si>
  <si>
    <t>whisper 好自在 熊抱安睡褲 XL, 夜用, 8片, 3包</t>
  </si>
  <si>
    <t>522244896297749</t>
  </si>
  <si>
    <t>4987176372086</t>
  </si>
  <si>
    <t>whisper 好自在 液體衛生棉 10片 9包 + 清新淨味液體衛生棉 9片 2包, 34cm + 31.7cm, 108片, 1套</t>
  </si>
  <si>
    <t>522244896297752</t>
  </si>
  <si>
    <t>4987176372284</t>
  </si>
  <si>
    <t>whisper 好自在 液體衛生棉 18片 5包 + 清新淨味液體衛生棉 9片 2包, 24cm, 108片, 1套</t>
  </si>
  <si>
    <t>522244896317753</t>
  </si>
  <si>
    <t>4987176373939</t>
  </si>
  <si>
    <t>Lenor 蘭諾</t>
  </si>
  <si>
    <t>Lenor 蘭諾 衣物芳香豆 雪松梔子花 補充包, 900ml, 1個</t>
  </si>
  <si>
    <t>522244896317755</t>
  </si>
  <si>
    <t>4987176373861</t>
  </si>
  <si>
    <t>Lenor 蘭諾 衣物芳香豆 清晨草木 補充包, 900ml, 1個</t>
  </si>
  <si>
    <t>522244896317756</t>
  </si>
  <si>
    <t>4987176373908</t>
  </si>
  <si>
    <t>Lenor 蘭諾 衣物芳香豆 淨白純棉 補充包, 940ml, 1個</t>
  </si>
  <si>
    <t>522244896317758</t>
  </si>
  <si>
    <t>4987176373854</t>
  </si>
  <si>
    <t>Lenor 蘭諾 衣物芳香豆 春暖晨露 補充包, 940ml, 1個</t>
  </si>
  <si>
    <t>522244896317760</t>
  </si>
  <si>
    <t>4987176373892</t>
  </si>
  <si>
    <t>Lenor 蘭諾 衣物芳香豆 甜柔麝香 補充包, 900ml, 1個</t>
  </si>
  <si>
    <t>13000000370675</t>
  </si>
  <si>
    <t>122902754082831</t>
  </si>
  <si>
    <t>4902430825801</t>
  </si>
  <si>
    <t>14902430825801</t>
  </si>
  <si>
    <t>PANTENE 潘婷</t>
  </si>
  <si>
    <t>[DS]PANTENE 潘婷 miracles奇蹟系列 煥活根源洗髮露, 500ml, 1瓶</t>
  </si>
  <si>
    <t>瓶</t>
  </si>
  <si>
    <t>(M)-
(E)2028-01-21</t>
  </si>
  <si>
    <t>206620600516608</t>
  </si>
  <si>
    <t>4987176040589</t>
  </si>
  <si>
    <t>PERT 飛柔</t>
  </si>
  <si>
    <t>[DS]Pert 飛柔 免沖洗瞬效護髮精華滋養修護 按壓瓶 380g, 1瓶</t>
  </si>
  <si>
    <t>206621913350145</t>
  </si>
  <si>
    <t>4902430900614</t>
  </si>
  <si>
    <t>14902430900614</t>
  </si>
  <si>
    <t>[DS]PANTENE 潘婷 miracles 奇蹟系列柔亮護色護髮精華素, 500g, 1瓶</t>
  </si>
  <si>
    <t>206654503092224</t>
  </si>
  <si>
    <t>4902430900591</t>
  </si>
  <si>
    <t>14902430900591</t>
  </si>
  <si>
    <t>[DS]PANTENE 潘婷 miracles奇蹟系列 柔亮護色洗髮露, 500ml, 1瓶</t>
  </si>
  <si>
    <t>252997070192641</t>
  </si>
  <si>
    <t>4987176151322</t>
  </si>
  <si>
    <t>[DS]PERT 飛柔 免沖洗瞬效護髮精華, 清爽修護, 380g, 1瓶</t>
  </si>
  <si>
    <t>253709195886592</t>
  </si>
  <si>
    <t>4987176176172</t>
  </si>
  <si>
    <t>14987176176172</t>
  </si>
  <si>
    <t>[DS]Gillette 吉列 Fusion鋒隱系列刮鬍刀頭, 4個, 1組</t>
  </si>
  <si>
    <t>253709195886593</t>
  </si>
  <si>
    <t>4987176169914</t>
  </si>
  <si>
    <t>[DS]Gillette 吉列 台灣公司貨 Fusion鋒隱系列刮鬍刀頭, 8入,1組</t>
  </si>
  <si>
    <t>253710156414978</t>
  </si>
  <si>
    <t>4987176169921</t>
  </si>
  <si>
    <t>[DS]Gillette 吉列 台灣公司貨 Fusion 鋒隱系列 刮鬍刀, 刀架*1+刀頭*2, 1組</t>
  </si>
  <si>
    <t>253710156414979</t>
  </si>
  <si>
    <t>4987176169952</t>
  </si>
  <si>
    <t>[DS]Gillette 吉列 Proglide 無感系列 刮鬍刀, 刀架 + 刀頭 2個, 1盒</t>
  </si>
  <si>
    <t>410946287665154</t>
  </si>
  <si>
    <t>4902430341844</t>
  </si>
  <si>
    <t>[DS]Gillette 吉列 台灣公司貨 Mach3 鋒速系列刮鬍刀頭, 4個, 1盒</t>
  </si>
  <si>
    <t>410946291875844</t>
  </si>
  <si>
    <t>4987176247674</t>
  </si>
  <si>
    <t>[DS]Gillette 吉列 台灣公司貨 Mach3 鋒速系列刮鬍刀組, 刀架+刀頭*2, 1盒</t>
  </si>
  <si>
    <t>518995950075905</t>
  </si>
  <si>
    <t>4987176301017</t>
  </si>
  <si>
    <t>[DS]whisper 好自在 台灣公司貨 Air Dry 雲枕瞬吸衛生棉 日用量大加長, 32cm, 16片, 1袋</t>
  </si>
  <si>
    <t>522244895806737</t>
  </si>
  <si>
    <t>4987176293374</t>
  </si>
  <si>
    <t>[DS]Gillette 吉列 服貼滑順輕便刮鬍刀, 10支, 1包</t>
  </si>
  <si>
    <t>522244896205152</t>
  </si>
  <si>
    <t>6903148345023</t>
  </si>
  <si>
    <t>whisper 好自在 經典款 液體衛生棉, 量大加長型 29.5cm, 夜用, 9片, 1個</t>
  </si>
  <si>
    <t>522244896205155</t>
  </si>
  <si>
    <t>4987176214720</t>
  </si>
  <si>
    <t>whisper 好自在 熊抱安睡褲 XL, 夜用, 8片, 1個</t>
  </si>
  <si>
    <t>522244896294064</t>
  </si>
  <si>
    <t>6903148355947</t>
  </si>
  <si>
    <t>whisper 好自在 無痕奢柔褲 內褲型, XL, 3片, 1個</t>
  </si>
  <si>
    <t>522244896297747</t>
  </si>
  <si>
    <t>4987176372079</t>
  </si>
  <si>
    <t>whisper 好自在 液體衛生棉 9片 9包 + 清新淨味液體衛生棉 9片 3包, 29.5cm + 31.7cm, 108片, 1套</t>
  </si>
  <si>
    <t>522244896299125</t>
  </si>
  <si>
    <t>4987176325655</t>
  </si>
  <si>
    <t>whisper 好自在 AirDry Fresh 草本健康量大組 10片 + 12片, 28cm + 18m, 22片, 1套</t>
  </si>
  <si>
    <t>522244896317752</t>
  </si>
  <si>
    <t>4987176373922</t>
  </si>
  <si>
    <t>Lenor 蘭諾 衣物芳香豆 甜花石榴香 補充包, 900ml, 1個</t>
  </si>
  <si>
    <t>(M)2025-07-23
(E)2027-07-22</t>
  </si>
  <si>
    <t>522244896317757</t>
  </si>
  <si>
    <t>4987176373878</t>
  </si>
  <si>
    <t>Lenor 蘭諾 衣物芳香豆 青檸紫羅蘭 補充包, 900ml, 1個</t>
  </si>
  <si>
    <t>13000000370674</t>
  </si>
  <si>
    <t>461030761152512</t>
  </si>
  <si>
    <t>14987176287004</t>
  </si>
  <si>
    <t>4987176287007</t>
  </si>
  <si>
    <t>Pampers 幫寶適</t>
  </si>
  <si>
    <t>[箱裝][DS]Pampers 幫寶適 原廠公司貨 史上最強一級幫紙尿褲/尿布禮盒/彌月禮盒組(黏貼型尿布-NB 32片+S112片), 144片, 1盒_(極上守護)</t>
  </si>
  <si>
    <t>(M)2025-01-20
(E)2028-01-19</t>
  </si>
  <si>
    <t>522244896175851</t>
  </si>
  <si>
    <t>4987176340856</t>
  </si>
  <si>
    <t>ARIEL 原廠公司貨 抗菌洗衣精補充包 室內晾衣型, 1690g, 1個</t>
  </si>
  <si>
    <t>(M)2025-07-21
(E)2027-07-20</t>
  </si>
  <si>
    <t>13000000370673</t>
  </si>
  <si>
    <t>522244896371575</t>
  </si>
  <si>
    <t>4987176324023</t>
  </si>
  <si>
    <t>Gillette 吉列 Venus 維納斯 敏感肌適用除毛刀組, 刀架 + 刀頭 2個 + 磁吸壁掛, 1套</t>
  </si>
  <si>
    <t>(M)2024-01-24
(E)2029-01-21</t>
  </si>
  <si>
    <t>13000000370672</t>
  </si>
  <si>
    <t>522244896371912</t>
  </si>
  <si>
    <t>4987176340863</t>
  </si>
  <si>
    <t>ARIEL 原廠公司貨 抗菌洗衣精 室內晾衣型, 1.9kg, 1個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</si>
</sst>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" fontId="0" fillId="0" borderId="0" xfId="0" applyNumberFormat="1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4"/>
  <sheetViews>
    <sheetView tabSelected="1" zoomScale="90" zoomScaleNormal="90" workbookViewId="0">
      <selection activeCell="F59" sqref="F59"/>
    </sheetView>
  </sheetViews>
  <sheetFormatPr defaultRowHeight="14.5" x14ac:dyDescent="0.3"/>
  <cols>
    <col min="1" max="1" width="10.5" bestFit="1" customWidth="1" collapsed="1"/>
    <col min="2" max="2" width="6.09765625" bestFit="1" customWidth="1" collapsed="1"/>
    <col min="3" max="3" width="16" bestFit="1" customWidth="1" collapsed="1"/>
    <col min="4" max="4" width="10.5" bestFit="1" customWidth="1" collapsed="1"/>
    <col min="5" max="5" width="41.69921875" bestFit="1" customWidth="1" collapsed="1"/>
    <col min="6" max="6" width="11.296875" bestFit="1" customWidth="1" collapsed="1"/>
    <col min="7" max="7" width="4.296875" bestFit="1" customWidth="1" collapsed="1"/>
    <col min="8" max="8" width="16.8984375" bestFit="1" customWidth="1" collapsed="1"/>
    <col min="9" max="10" width="16" bestFit="1" customWidth="1" collapsed="1"/>
    <col min="11" max="11" width="15.8984375" bestFit="1" customWidth="1" collapsed="1"/>
    <col min="12" max="12" width="129.296875" bestFit="1" customWidth="1" collapsed="1"/>
    <col min="13" max="13" width="20.69921875" bestFit="1" customWidth="1" collapsed="1"/>
    <col min="14" max="14" width="10.5" bestFit="1" customWidth="1" collapsed="1"/>
    <col min="15" max="15" width="6.09765625" bestFit="1" customWidth="1" collapsed="1"/>
    <col min="16" max="16" width="8.296875" bestFit="1" customWidth="1" collapsed="1"/>
    <col min="17" max="17" width="6.09765625" bestFit="1" customWidth="1" collapsed="1"/>
    <col min="18" max="19" width="20.69921875" bestFit="1" customWidth="1" collapsed="1"/>
    <col min="20" max="21" width="10.5" bestFit="1" customWidth="1" collapsed="1"/>
    <col min="22" max="22" width="14" bestFit="1" customWidth="1" collapsed="1"/>
    <col min="23" max="23" width="11.69921875" bestFit="1" customWidth="1" collapsed="1"/>
    <col min="24" max="24" width="16.8984375" bestFit="1" customWidth="1" collapsed="1"/>
    <col min="25" max="25" width="14" bestFit="1" customWidth="1" collapsed="1"/>
    <col min="26" max="26" width="6.09765625" bestFit="1" customWidth="1" collapsed="1"/>
    <col min="27" max="28" width="10.5" bestFit="1" customWidth="1" collapsed="1"/>
    <col min="29" max="29" width="11.09765625" bestFit="1" customWidth="1" collapsed="1"/>
    <col min="30" max="30" width="14.296875" bestFit="1" customWidth="1" collapsed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39</v>
      </c>
      <c r="C2" t="s">
        <v>31</v>
      </c>
      <c r="D2" t="s">
        <v>32</v>
      </c>
      <c r="E2" t="s">
        <v>33</v>
      </c>
      <c r="F2" s="2">
        <v>46226</v>
      </c>
      <c r="G2">
        <v>1</v>
      </c>
      <c r="H2" t="s">
        <v>34</v>
      </c>
      <c r="I2" t="s">
        <v>35</v>
      </c>
      <c r="L2" t="s">
        <v>36</v>
      </c>
      <c r="M2">
        <v>20</v>
      </c>
      <c r="N2">
        <v>20</v>
      </c>
      <c r="P2">
        <v>0</v>
      </c>
      <c r="Q2" t="e">
        <f t="shared" ref="Q2:Q33" si="0">N2/P2</f>
        <v>#DIV/0!</v>
      </c>
      <c r="R2" s="1">
        <v>78</v>
      </c>
      <c r="S2" s="1">
        <v>0</v>
      </c>
      <c r="T2" t="str">
        <f t="shared" ref="T2:T33" si="1">IF(R2=S2,"相符","不相符")</f>
        <v>不相符</v>
      </c>
      <c r="V2">
        <f t="shared" ref="V2:V33" si="2">P2*R2</f>
        <v>0</v>
      </c>
      <c r="W2" t="e">
        <f t="shared" ref="W2:W33" si="3">Q2*V2</f>
        <v>#DIV/0!</v>
      </c>
      <c r="X2">
        <v>0</v>
      </c>
      <c r="Y2" t="s">
        <v>37</v>
      </c>
      <c r="Z2" t="s">
        <v>38</v>
      </c>
    </row>
    <row r="3" spans="1:30" x14ac:dyDescent="0.3">
      <c r="A3" t="s">
        <v>30</v>
      </c>
      <c r="B3" t="s">
        <v>39</v>
      </c>
      <c r="C3" t="s">
        <v>40</v>
      </c>
      <c r="D3" t="s">
        <v>32</v>
      </c>
      <c r="E3" t="s">
        <v>33</v>
      </c>
      <c r="F3" s="2">
        <v>46227</v>
      </c>
      <c r="G3">
        <v>1</v>
      </c>
      <c r="H3" t="s">
        <v>41</v>
      </c>
      <c r="I3" t="s">
        <v>42</v>
      </c>
      <c r="J3" t="s">
        <v>42</v>
      </c>
      <c r="K3" t="s">
        <v>43</v>
      </c>
      <c r="L3" t="s">
        <v>44</v>
      </c>
      <c r="M3">
        <v>62</v>
      </c>
      <c r="N3">
        <v>62</v>
      </c>
      <c r="O3" t="s">
        <v>45</v>
      </c>
      <c r="P3">
        <v>24</v>
      </c>
      <c r="Q3">
        <f t="shared" si="0"/>
        <v>2.5833333333333335</v>
      </c>
      <c r="R3" s="1">
        <v>40</v>
      </c>
      <c r="S3" s="1">
        <v>40</v>
      </c>
      <c r="T3" t="str">
        <f t="shared" si="1"/>
        <v>相符</v>
      </c>
      <c r="V3">
        <f t="shared" si="2"/>
        <v>960</v>
      </c>
      <c r="W3">
        <f t="shared" si="3"/>
        <v>2480</v>
      </c>
      <c r="X3">
        <v>1095</v>
      </c>
      <c r="Y3" t="s">
        <v>46</v>
      </c>
      <c r="Z3" t="s">
        <v>38</v>
      </c>
      <c r="AC3" t="s">
        <v>47</v>
      </c>
    </row>
    <row r="4" spans="1:30" x14ac:dyDescent="0.3">
      <c r="A4" t="s">
        <v>30</v>
      </c>
      <c r="B4" t="s">
        <v>39</v>
      </c>
      <c r="C4" t="s">
        <v>40</v>
      </c>
      <c r="D4" t="s">
        <v>32</v>
      </c>
      <c r="E4" t="s">
        <v>33</v>
      </c>
      <c r="F4" s="2">
        <v>46227</v>
      </c>
      <c r="G4">
        <v>2</v>
      </c>
      <c r="H4" t="s">
        <v>48</v>
      </c>
      <c r="I4" t="s">
        <v>49</v>
      </c>
      <c r="J4" t="s">
        <v>49</v>
      </c>
      <c r="K4" t="s">
        <v>43</v>
      </c>
      <c r="L4" t="s">
        <v>50</v>
      </c>
      <c r="M4">
        <v>83</v>
      </c>
      <c r="N4">
        <v>83</v>
      </c>
      <c r="O4" t="s">
        <v>45</v>
      </c>
      <c r="P4">
        <v>12</v>
      </c>
      <c r="Q4">
        <f t="shared" si="0"/>
        <v>6.916666666666667</v>
      </c>
      <c r="R4" s="1">
        <v>60</v>
      </c>
      <c r="S4" s="1">
        <v>60</v>
      </c>
      <c r="T4" t="str">
        <f t="shared" si="1"/>
        <v>相符</v>
      </c>
      <c r="V4">
        <f t="shared" si="2"/>
        <v>720</v>
      </c>
      <c r="W4">
        <f t="shared" si="3"/>
        <v>4980</v>
      </c>
      <c r="X4">
        <v>1095</v>
      </c>
      <c r="Y4" t="s">
        <v>51</v>
      </c>
      <c r="Z4" t="s">
        <v>38</v>
      </c>
      <c r="AC4" t="s">
        <v>47</v>
      </c>
    </row>
    <row r="5" spans="1:30" x14ac:dyDescent="0.3">
      <c r="A5" t="s">
        <v>30</v>
      </c>
      <c r="B5" t="s">
        <v>39</v>
      </c>
      <c r="C5" t="s">
        <v>40</v>
      </c>
      <c r="D5" t="s">
        <v>32</v>
      </c>
      <c r="E5" t="s">
        <v>33</v>
      </c>
      <c r="F5" s="2">
        <v>46227</v>
      </c>
      <c r="G5">
        <v>3</v>
      </c>
      <c r="H5" t="s">
        <v>52</v>
      </c>
      <c r="I5" t="s">
        <v>53</v>
      </c>
      <c r="J5" t="s">
        <v>53</v>
      </c>
      <c r="K5" t="s">
        <v>43</v>
      </c>
      <c r="L5" t="s">
        <v>54</v>
      </c>
      <c r="M5">
        <v>83</v>
      </c>
      <c r="N5">
        <v>83</v>
      </c>
      <c r="O5" t="s">
        <v>45</v>
      </c>
      <c r="P5">
        <v>12</v>
      </c>
      <c r="Q5">
        <f t="shared" si="0"/>
        <v>6.916666666666667</v>
      </c>
      <c r="R5" s="1">
        <v>60</v>
      </c>
      <c r="S5" s="1">
        <v>60</v>
      </c>
      <c r="T5" t="str">
        <f t="shared" si="1"/>
        <v>相符</v>
      </c>
      <c r="V5">
        <f t="shared" si="2"/>
        <v>720</v>
      </c>
      <c r="W5">
        <f t="shared" si="3"/>
        <v>4980</v>
      </c>
      <c r="X5">
        <v>1095</v>
      </c>
      <c r="Y5" t="s">
        <v>51</v>
      </c>
      <c r="Z5" t="s">
        <v>38</v>
      </c>
      <c r="AC5" t="s">
        <v>47</v>
      </c>
    </row>
    <row r="6" spans="1:30" x14ac:dyDescent="0.3">
      <c r="A6" t="s">
        <v>30</v>
      </c>
      <c r="B6" t="s">
        <v>39</v>
      </c>
      <c r="C6" t="s">
        <v>40</v>
      </c>
      <c r="D6" t="s">
        <v>32</v>
      </c>
      <c r="E6" t="s">
        <v>33</v>
      </c>
      <c r="F6" s="2">
        <v>46227</v>
      </c>
      <c r="G6">
        <v>4</v>
      </c>
      <c r="H6" t="s">
        <v>55</v>
      </c>
      <c r="I6" t="s">
        <v>56</v>
      </c>
      <c r="J6" t="s">
        <v>56</v>
      </c>
      <c r="K6" t="s">
        <v>43</v>
      </c>
      <c r="L6" t="s">
        <v>57</v>
      </c>
      <c r="M6">
        <v>4284</v>
      </c>
      <c r="N6">
        <v>4284</v>
      </c>
      <c r="O6" t="s">
        <v>45</v>
      </c>
      <c r="P6">
        <v>12</v>
      </c>
      <c r="Q6">
        <f t="shared" si="0"/>
        <v>357</v>
      </c>
      <c r="R6" s="1">
        <v>82</v>
      </c>
      <c r="S6" s="1">
        <v>82</v>
      </c>
      <c r="T6" t="str">
        <f t="shared" si="1"/>
        <v>相符</v>
      </c>
      <c r="V6">
        <f t="shared" si="2"/>
        <v>984</v>
      </c>
      <c r="W6">
        <f t="shared" si="3"/>
        <v>351288</v>
      </c>
      <c r="X6">
        <v>1095</v>
      </c>
      <c r="Y6" t="s">
        <v>51</v>
      </c>
      <c r="Z6" t="s">
        <v>38</v>
      </c>
      <c r="AC6" t="s">
        <v>47</v>
      </c>
    </row>
    <row r="7" spans="1:30" x14ac:dyDescent="0.3">
      <c r="A7" t="s">
        <v>30</v>
      </c>
      <c r="B7" t="s">
        <v>39</v>
      </c>
      <c r="C7" t="s">
        <v>40</v>
      </c>
      <c r="D7" t="s">
        <v>32</v>
      </c>
      <c r="E7" t="s">
        <v>33</v>
      </c>
      <c r="F7" s="2">
        <v>46227</v>
      </c>
      <c r="G7">
        <v>5</v>
      </c>
      <c r="H7" t="s">
        <v>58</v>
      </c>
      <c r="I7" t="s">
        <v>59</v>
      </c>
      <c r="J7" t="s">
        <v>59</v>
      </c>
      <c r="K7" t="s">
        <v>43</v>
      </c>
      <c r="L7" t="s">
        <v>60</v>
      </c>
      <c r="M7">
        <v>300</v>
      </c>
      <c r="N7">
        <v>300</v>
      </c>
      <c r="O7" t="s">
        <v>45</v>
      </c>
      <c r="P7">
        <v>12</v>
      </c>
      <c r="Q7">
        <f t="shared" si="0"/>
        <v>25</v>
      </c>
      <c r="R7" s="1">
        <v>89</v>
      </c>
      <c r="S7" s="1">
        <v>89</v>
      </c>
      <c r="T7" t="str">
        <f t="shared" si="1"/>
        <v>相符</v>
      </c>
      <c r="V7">
        <f t="shared" si="2"/>
        <v>1068</v>
      </c>
      <c r="W7">
        <f t="shared" si="3"/>
        <v>26700</v>
      </c>
      <c r="X7">
        <v>1095</v>
      </c>
      <c r="Y7" t="s">
        <v>51</v>
      </c>
      <c r="Z7" t="s">
        <v>38</v>
      </c>
      <c r="AC7" t="s">
        <v>47</v>
      </c>
    </row>
    <row r="8" spans="1:30" x14ac:dyDescent="0.3">
      <c r="A8" t="s">
        <v>30</v>
      </c>
      <c r="B8" t="s">
        <v>39</v>
      </c>
      <c r="C8" t="s">
        <v>40</v>
      </c>
      <c r="D8" t="s">
        <v>32</v>
      </c>
      <c r="E8" t="s">
        <v>33</v>
      </c>
      <c r="F8" s="2">
        <v>46227</v>
      </c>
      <c r="G8">
        <v>6</v>
      </c>
      <c r="H8" t="s">
        <v>61</v>
      </c>
      <c r="I8" t="s">
        <v>62</v>
      </c>
      <c r="J8" t="s">
        <v>62</v>
      </c>
      <c r="K8" t="s">
        <v>43</v>
      </c>
      <c r="L8" t="s">
        <v>63</v>
      </c>
      <c r="M8">
        <v>300</v>
      </c>
      <c r="N8">
        <v>300</v>
      </c>
      <c r="O8" t="s">
        <v>45</v>
      </c>
      <c r="P8">
        <v>12</v>
      </c>
      <c r="Q8">
        <f t="shared" si="0"/>
        <v>25</v>
      </c>
      <c r="R8" s="1">
        <v>95</v>
      </c>
      <c r="S8" s="1">
        <v>95</v>
      </c>
      <c r="T8" t="str">
        <f t="shared" si="1"/>
        <v>相符</v>
      </c>
      <c r="V8">
        <f t="shared" si="2"/>
        <v>1140</v>
      </c>
      <c r="W8">
        <f t="shared" si="3"/>
        <v>28500</v>
      </c>
      <c r="X8">
        <v>1095</v>
      </c>
      <c r="Y8" t="s">
        <v>64</v>
      </c>
      <c r="Z8" t="s">
        <v>38</v>
      </c>
      <c r="AC8" t="s">
        <v>47</v>
      </c>
    </row>
    <row r="9" spans="1:30" x14ac:dyDescent="0.3">
      <c r="A9" t="s">
        <v>30</v>
      </c>
      <c r="B9" t="s">
        <v>39</v>
      </c>
      <c r="C9" t="s">
        <v>40</v>
      </c>
      <c r="D9" t="s">
        <v>32</v>
      </c>
      <c r="E9" t="s">
        <v>33</v>
      </c>
      <c r="F9" s="2">
        <v>46227</v>
      </c>
      <c r="G9">
        <v>7</v>
      </c>
      <c r="H9" t="s">
        <v>65</v>
      </c>
      <c r="I9" t="s">
        <v>66</v>
      </c>
      <c r="J9" t="s">
        <v>66</v>
      </c>
      <c r="K9" t="s">
        <v>67</v>
      </c>
      <c r="L9" t="s">
        <v>68</v>
      </c>
      <c r="M9">
        <v>120</v>
      </c>
      <c r="N9">
        <v>120</v>
      </c>
      <c r="O9" t="s">
        <v>69</v>
      </c>
      <c r="P9">
        <v>20</v>
      </c>
      <c r="Q9">
        <f t="shared" si="0"/>
        <v>6</v>
      </c>
      <c r="R9" s="1">
        <v>419</v>
      </c>
      <c r="S9" s="1">
        <v>419</v>
      </c>
      <c r="T9" t="str">
        <f t="shared" si="1"/>
        <v>相符</v>
      </c>
      <c r="V9">
        <f t="shared" si="2"/>
        <v>8380</v>
      </c>
      <c r="W9">
        <f t="shared" si="3"/>
        <v>50280</v>
      </c>
      <c r="X9">
        <v>1825</v>
      </c>
      <c r="Y9" t="s">
        <v>70</v>
      </c>
      <c r="Z9" t="s">
        <v>38</v>
      </c>
      <c r="AC9" t="s">
        <v>47</v>
      </c>
    </row>
    <row r="10" spans="1:30" x14ac:dyDescent="0.3">
      <c r="A10" t="s">
        <v>30</v>
      </c>
      <c r="B10" t="s">
        <v>39</v>
      </c>
      <c r="C10" t="s">
        <v>40</v>
      </c>
      <c r="D10" t="s">
        <v>32</v>
      </c>
      <c r="E10" t="s">
        <v>33</v>
      </c>
      <c r="F10" s="2">
        <v>46227</v>
      </c>
      <c r="G10">
        <v>8</v>
      </c>
      <c r="H10" t="s">
        <v>71</v>
      </c>
      <c r="I10" t="s">
        <v>72</v>
      </c>
      <c r="J10" t="s">
        <v>73</v>
      </c>
      <c r="K10" t="s">
        <v>74</v>
      </c>
      <c r="L10" t="s">
        <v>75</v>
      </c>
      <c r="M10">
        <v>48</v>
      </c>
      <c r="N10">
        <v>48</v>
      </c>
      <c r="O10" t="s">
        <v>76</v>
      </c>
      <c r="P10">
        <v>1</v>
      </c>
      <c r="Q10">
        <f t="shared" si="0"/>
        <v>48</v>
      </c>
      <c r="R10" s="1">
        <v>1158</v>
      </c>
      <c r="S10" s="1">
        <v>1158</v>
      </c>
      <c r="T10" t="str">
        <f t="shared" si="1"/>
        <v>相符</v>
      </c>
      <c r="V10">
        <f t="shared" si="2"/>
        <v>1158</v>
      </c>
      <c r="W10">
        <f t="shared" si="3"/>
        <v>55584</v>
      </c>
      <c r="X10">
        <v>730</v>
      </c>
      <c r="Y10" t="s">
        <v>77</v>
      </c>
      <c r="Z10" t="s">
        <v>38</v>
      </c>
      <c r="AC10" t="s">
        <v>47</v>
      </c>
    </row>
    <row r="11" spans="1:30" x14ac:dyDescent="0.3">
      <c r="A11" t="s">
        <v>30</v>
      </c>
      <c r="B11" t="s">
        <v>39</v>
      </c>
      <c r="C11" t="s">
        <v>40</v>
      </c>
      <c r="D11" t="s">
        <v>32</v>
      </c>
      <c r="E11" t="s">
        <v>33</v>
      </c>
      <c r="F11" s="2">
        <v>46227</v>
      </c>
      <c r="G11">
        <v>9</v>
      </c>
      <c r="H11" t="s">
        <v>78</v>
      </c>
      <c r="I11" t="s">
        <v>73</v>
      </c>
      <c r="J11" t="s">
        <v>73</v>
      </c>
      <c r="K11" t="s">
        <v>74</v>
      </c>
      <c r="L11" t="s">
        <v>79</v>
      </c>
      <c r="M11">
        <v>2040</v>
      </c>
      <c r="N11">
        <v>2040</v>
      </c>
      <c r="O11" t="s">
        <v>80</v>
      </c>
      <c r="P11">
        <v>6</v>
      </c>
      <c r="Q11">
        <f t="shared" si="0"/>
        <v>340</v>
      </c>
      <c r="R11" s="1">
        <v>193</v>
      </c>
      <c r="S11" s="1">
        <v>193</v>
      </c>
      <c r="T11" t="str">
        <f t="shared" si="1"/>
        <v>相符</v>
      </c>
      <c r="V11">
        <f t="shared" si="2"/>
        <v>1158</v>
      </c>
      <c r="W11">
        <f t="shared" si="3"/>
        <v>393720</v>
      </c>
      <c r="X11">
        <v>730</v>
      </c>
      <c r="Y11" t="s">
        <v>77</v>
      </c>
      <c r="Z11" t="s">
        <v>38</v>
      </c>
      <c r="AC11" t="s">
        <v>47</v>
      </c>
    </row>
    <row r="12" spans="1:30" x14ac:dyDescent="0.3">
      <c r="A12" t="s">
        <v>30</v>
      </c>
      <c r="B12" t="s">
        <v>39</v>
      </c>
      <c r="C12" t="s">
        <v>40</v>
      </c>
      <c r="D12" t="s">
        <v>32</v>
      </c>
      <c r="E12" t="s">
        <v>33</v>
      </c>
      <c r="F12" s="2">
        <v>46227</v>
      </c>
      <c r="G12">
        <v>10</v>
      </c>
      <c r="H12" t="s">
        <v>81</v>
      </c>
      <c r="I12" t="s">
        <v>82</v>
      </c>
      <c r="J12" t="s">
        <v>82</v>
      </c>
      <c r="K12" t="s">
        <v>74</v>
      </c>
      <c r="L12" t="s">
        <v>83</v>
      </c>
      <c r="M12">
        <v>960</v>
      </c>
      <c r="N12">
        <v>960</v>
      </c>
      <c r="O12" t="s">
        <v>80</v>
      </c>
      <c r="P12">
        <v>6</v>
      </c>
      <c r="Q12">
        <f t="shared" si="0"/>
        <v>160</v>
      </c>
      <c r="R12" s="1">
        <v>193</v>
      </c>
      <c r="S12" s="1">
        <v>193</v>
      </c>
      <c r="T12" t="str">
        <f t="shared" si="1"/>
        <v>相符</v>
      </c>
      <c r="V12">
        <f t="shared" si="2"/>
        <v>1158</v>
      </c>
      <c r="W12">
        <f t="shared" si="3"/>
        <v>185280</v>
      </c>
      <c r="X12">
        <v>730</v>
      </c>
      <c r="Y12" t="s">
        <v>77</v>
      </c>
      <c r="Z12" t="s">
        <v>38</v>
      </c>
      <c r="AC12" t="s">
        <v>47</v>
      </c>
    </row>
    <row r="13" spans="1:30" x14ac:dyDescent="0.3">
      <c r="A13" t="s">
        <v>30</v>
      </c>
      <c r="B13" t="s">
        <v>39</v>
      </c>
      <c r="C13" t="s">
        <v>40</v>
      </c>
      <c r="D13" t="s">
        <v>32</v>
      </c>
      <c r="E13" t="s">
        <v>33</v>
      </c>
      <c r="F13" s="2">
        <v>46227</v>
      </c>
      <c r="G13">
        <v>11</v>
      </c>
      <c r="H13" t="s">
        <v>84</v>
      </c>
      <c r="I13" t="s">
        <v>85</v>
      </c>
      <c r="J13" t="s">
        <v>85</v>
      </c>
      <c r="K13" t="s">
        <v>74</v>
      </c>
      <c r="L13" t="s">
        <v>86</v>
      </c>
      <c r="M13">
        <v>656</v>
      </c>
      <c r="N13">
        <v>656</v>
      </c>
      <c r="O13" t="s">
        <v>45</v>
      </c>
      <c r="P13">
        <v>10</v>
      </c>
      <c r="Q13">
        <f t="shared" si="0"/>
        <v>65.599999999999994</v>
      </c>
      <c r="R13" s="1">
        <v>208</v>
      </c>
      <c r="S13" s="1">
        <v>208</v>
      </c>
      <c r="T13" t="str">
        <f t="shared" si="1"/>
        <v>相符</v>
      </c>
      <c r="V13">
        <f t="shared" si="2"/>
        <v>2080</v>
      </c>
      <c r="W13">
        <f t="shared" si="3"/>
        <v>136448</v>
      </c>
      <c r="X13">
        <v>540</v>
      </c>
      <c r="Y13" t="s">
        <v>87</v>
      </c>
      <c r="Z13" t="s">
        <v>38</v>
      </c>
      <c r="AC13" t="s">
        <v>47</v>
      </c>
    </row>
    <row r="14" spans="1:30" x14ac:dyDescent="0.3">
      <c r="A14" t="s">
        <v>30</v>
      </c>
      <c r="B14" t="s">
        <v>39</v>
      </c>
      <c r="C14" t="s">
        <v>40</v>
      </c>
      <c r="D14" t="s">
        <v>32</v>
      </c>
      <c r="E14" t="s">
        <v>33</v>
      </c>
      <c r="F14" s="2">
        <v>46227</v>
      </c>
      <c r="G14">
        <v>12</v>
      </c>
      <c r="H14" t="s">
        <v>88</v>
      </c>
      <c r="I14" t="s">
        <v>89</v>
      </c>
      <c r="J14" t="s">
        <v>89</v>
      </c>
      <c r="K14" t="s">
        <v>74</v>
      </c>
      <c r="L14" t="s">
        <v>90</v>
      </c>
      <c r="M14">
        <v>400</v>
      </c>
      <c r="N14">
        <v>400</v>
      </c>
      <c r="O14" t="s">
        <v>45</v>
      </c>
      <c r="P14">
        <v>10</v>
      </c>
      <c r="Q14">
        <f t="shared" si="0"/>
        <v>40</v>
      </c>
      <c r="R14" s="1">
        <v>208</v>
      </c>
      <c r="S14" s="1">
        <v>208</v>
      </c>
      <c r="T14" t="str">
        <f t="shared" si="1"/>
        <v>相符</v>
      </c>
      <c r="V14">
        <f t="shared" si="2"/>
        <v>2080</v>
      </c>
      <c r="W14">
        <f t="shared" si="3"/>
        <v>83200</v>
      </c>
      <c r="X14">
        <v>540</v>
      </c>
      <c r="Y14" t="s">
        <v>87</v>
      </c>
      <c r="Z14" t="s">
        <v>38</v>
      </c>
      <c r="AC14" t="s">
        <v>47</v>
      </c>
    </row>
    <row r="15" spans="1:30" x14ac:dyDescent="0.3">
      <c r="A15" t="s">
        <v>30</v>
      </c>
      <c r="B15" t="s">
        <v>39</v>
      </c>
      <c r="C15" t="s">
        <v>40</v>
      </c>
      <c r="D15" t="s">
        <v>32</v>
      </c>
      <c r="E15" t="s">
        <v>33</v>
      </c>
      <c r="F15" s="2">
        <v>46227</v>
      </c>
      <c r="G15">
        <v>13</v>
      </c>
      <c r="H15" t="s">
        <v>91</v>
      </c>
      <c r="I15" t="s">
        <v>92</v>
      </c>
      <c r="J15" t="s">
        <v>92</v>
      </c>
      <c r="K15" t="s">
        <v>43</v>
      </c>
      <c r="L15" t="s">
        <v>93</v>
      </c>
      <c r="M15">
        <v>200</v>
      </c>
      <c r="N15">
        <v>200</v>
      </c>
      <c r="O15" t="s">
        <v>45</v>
      </c>
      <c r="P15">
        <v>12</v>
      </c>
      <c r="Q15">
        <f t="shared" si="0"/>
        <v>16.666666666666668</v>
      </c>
      <c r="R15" s="1">
        <v>131</v>
      </c>
      <c r="S15" s="1">
        <v>131</v>
      </c>
      <c r="T15" t="str">
        <f t="shared" si="1"/>
        <v>相符</v>
      </c>
      <c r="V15">
        <f t="shared" si="2"/>
        <v>1572</v>
      </c>
      <c r="W15">
        <f t="shared" si="3"/>
        <v>26200.000000000004</v>
      </c>
      <c r="X15">
        <v>1095</v>
      </c>
      <c r="Y15" t="s">
        <v>64</v>
      </c>
      <c r="Z15" t="s">
        <v>38</v>
      </c>
      <c r="AC15" t="s">
        <v>47</v>
      </c>
    </row>
    <row r="16" spans="1:30" x14ac:dyDescent="0.3">
      <c r="A16" t="s">
        <v>30</v>
      </c>
      <c r="B16" t="s">
        <v>39</v>
      </c>
      <c r="C16" t="s">
        <v>40</v>
      </c>
      <c r="D16" t="s">
        <v>32</v>
      </c>
      <c r="E16" t="s">
        <v>33</v>
      </c>
      <c r="F16" s="2">
        <v>46227</v>
      </c>
      <c r="G16">
        <v>14</v>
      </c>
      <c r="H16" t="s">
        <v>94</v>
      </c>
      <c r="I16" t="s">
        <v>95</v>
      </c>
      <c r="J16" t="s">
        <v>95</v>
      </c>
      <c r="K16" t="s">
        <v>43</v>
      </c>
      <c r="L16" t="s">
        <v>96</v>
      </c>
      <c r="M16">
        <v>80</v>
      </c>
      <c r="N16">
        <v>80</v>
      </c>
      <c r="O16" t="s">
        <v>80</v>
      </c>
      <c r="P16">
        <v>16</v>
      </c>
      <c r="Q16">
        <f t="shared" si="0"/>
        <v>5</v>
      </c>
      <c r="R16" s="1">
        <v>78</v>
      </c>
      <c r="S16" s="1">
        <v>78</v>
      </c>
      <c r="T16" t="str">
        <f t="shared" si="1"/>
        <v>相符</v>
      </c>
      <c r="V16">
        <f t="shared" si="2"/>
        <v>1248</v>
      </c>
      <c r="W16">
        <f t="shared" si="3"/>
        <v>6240</v>
      </c>
      <c r="X16">
        <v>1095</v>
      </c>
      <c r="Y16" t="s">
        <v>64</v>
      </c>
      <c r="Z16" t="s">
        <v>38</v>
      </c>
      <c r="AC16" t="s">
        <v>47</v>
      </c>
    </row>
    <row r="17" spans="1:29" x14ac:dyDescent="0.3">
      <c r="A17" t="s">
        <v>30</v>
      </c>
      <c r="B17" t="s">
        <v>39</v>
      </c>
      <c r="C17" t="s">
        <v>40</v>
      </c>
      <c r="D17" t="s">
        <v>32</v>
      </c>
      <c r="E17" t="s">
        <v>33</v>
      </c>
      <c r="F17" s="2">
        <v>46227</v>
      </c>
      <c r="G17">
        <v>15</v>
      </c>
      <c r="H17" t="s">
        <v>97</v>
      </c>
      <c r="I17" t="s">
        <v>98</v>
      </c>
      <c r="J17" t="s">
        <v>98</v>
      </c>
      <c r="K17" t="s">
        <v>43</v>
      </c>
      <c r="L17" t="s">
        <v>99</v>
      </c>
      <c r="M17">
        <v>10</v>
      </c>
      <c r="N17">
        <v>10</v>
      </c>
      <c r="O17" t="s">
        <v>80</v>
      </c>
      <c r="P17">
        <v>16</v>
      </c>
      <c r="Q17">
        <f t="shared" si="0"/>
        <v>0.625</v>
      </c>
      <c r="R17" s="1">
        <v>78</v>
      </c>
      <c r="S17" s="1">
        <v>78</v>
      </c>
      <c r="T17" t="str">
        <f t="shared" si="1"/>
        <v>相符</v>
      </c>
      <c r="V17">
        <f t="shared" si="2"/>
        <v>1248</v>
      </c>
      <c r="W17">
        <f t="shared" si="3"/>
        <v>780</v>
      </c>
      <c r="X17">
        <v>1095</v>
      </c>
      <c r="Y17" t="s">
        <v>64</v>
      </c>
      <c r="Z17" t="s">
        <v>38</v>
      </c>
      <c r="AC17" t="s">
        <v>47</v>
      </c>
    </row>
    <row r="18" spans="1:29" x14ac:dyDescent="0.3">
      <c r="A18" t="s">
        <v>30</v>
      </c>
      <c r="B18" t="s">
        <v>39</v>
      </c>
      <c r="C18" t="s">
        <v>40</v>
      </c>
      <c r="D18" t="s">
        <v>32</v>
      </c>
      <c r="E18" t="s">
        <v>33</v>
      </c>
      <c r="F18" s="2">
        <v>46227</v>
      </c>
      <c r="G18">
        <v>16</v>
      </c>
      <c r="H18" t="s">
        <v>100</v>
      </c>
      <c r="I18" t="s">
        <v>101</v>
      </c>
      <c r="J18" t="s">
        <v>101</v>
      </c>
      <c r="K18" t="s">
        <v>43</v>
      </c>
      <c r="L18" t="s">
        <v>102</v>
      </c>
      <c r="M18">
        <v>48</v>
      </c>
      <c r="N18">
        <v>48</v>
      </c>
      <c r="O18" t="s">
        <v>103</v>
      </c>
      <c r="P18">
        <v>1</v>
      </c>
      <c r="Q18">
        <f t="shared" si="0"/>
        <v>48</v>
      </c>
      <c r="R18" s="1">
        <v>465</v>
      </c>
      <c r="S18" s="1">
        <v>465</v>
      </c>
      <c r="T18" t="str">
        <f t="shared" si="1"/>
        <v>相符</v>
      </c>
      <c r="V18">
        <f t="shared" si="2"/>
        <v>465</v>
      </c>
      <c r="W18">
        <f t="shared" si="3"/>
        <v>22320</v>
      </c>
      <c r="X18">
        <v>1095</v>
      </c>
      <c r="Y18" t="s">
        <v>64</v>
      </c>
      <c r="Z18" t="s">
        <v>38</v>
      </c>
      <c r="AC18" t="s">
        <v>47</v>
      </c>
    </row>
    <row r="19" spans="1:29" x14ac:dyDescent="0.3">
      <c r="A19" t="s">
        <v>30</v>
      </c>
      <c r="B19" t="s">
        <v>39</v>
      </c>
      <c r="C19" t="s">
        <v>40</v>
      </c>
      <c r="D19" t="s">
        <v>32</v>
      </c>
      <c r="E19" t="s">
        <v>33</v>
      </c>
      <c r="F19" s="2">
        <v>46227</v>
      </c>
      <c r="G19">
        <v>17</v>
      </c>
      <c r="H19" t="s">
        <v>104</v>
      </c>
      <c r="I19" t="s">
        <v>105</v>
      </c>
      <c r="J19" t="s">
        <v>105</v>
      </c>
      <c r="K19" t="s">
        <v>43</v>
      </c>
      <c r="L19" t="s">
        <v>106</v>
      </c>
      <c r="M19">
        <v>64</v>
      </c>
      <c r="N19">
        <v>64</v>
      </c>
      <c r="O19" t="s">
        <v>103</v>
      </c>
      <c r="P19">
        <v>1</v>
      </c>
      <c r="Q19">
        <f t="shared" si="0"/>
        <v>64</v>
      </c>
      <c r="R19" s="1">
        <v>465</v>
      </c>
      <c r="S19" s="1">
        <v>465</v>
      </c>
      <c r="T19" t="str">
        <f t="shared" si="1"/>
        <v>相符</v>
      </c>
      <c r="V19">
        <f t="shared" si="2"/>
        <v>465</v>
      </c>
      <c r="W19">
        <f t="shared" si="3"/>
        <v>29760</v>
      </c>
      <c r="X19">
        <v>1095</v>
      </c>
      <c r="Y19" t="s">
        <v>64</v>
      </c>
      <c r="Z19" t="s">
        <v>38</v>
      </c>
      <c r="AC19" t="s">
        <v>47</v>
      </c>
    </row>
    <row r="20" spans="1:29" x14ac:dyDescent="0.3">
      <c r="A20" t="s">
        <v>30</v>
      </c>
      <c r="B20" t="s">
        <v>39</v>
      </c>
      <c r="C20" t="s">
        <v>40</v>
      </c>
      <c r="D20" t="s">
        <v>32</v>
      </c>
      <c r="E20" t="s">
        <v>33</v>
      </c>
      <c r="F20" s="2">
        <v>46227</v>
      </c>
      <c r="G20">
        <v>18</v>
      </c>
      <c r="H20" t="s">
        <v>107</v>
      </c>
      <c r="I20" t="s">
        <v>108</v>
      </c>
      <c r="J20" t="s">
        <v>108</v>
      </c>
      <c r="K20" t="s">
        <v>43</v>
      </c>
      <c r="L20" t="s">
        <v>109</v>
      </c>
      <c r="M20">
        <v>64</v>
      </c>
      <c r="N20">
        <v>64</v>
      </c>
      <c r="O20" t="s">
        <v>103</v>
      </c>
      <c r="P20">
        <v>1</v>
      </c>
      <c r="Q20">
        <f t="shared" si="0"/>
        <v>64</v>
      </c>
      <c r="R20" s="1">
        <v>465</v>
      </c>
      <c r="S20" s="1">
        <v>465</v>
      </c>
      <c r="T20" t="str">
        <f t="shared" si="1"/>
        <v>相符</v>
      </c>
      <c r="V20">
        <f t="shared" si="2"/>
        <v>465</v>
      </c>
      <c r="W20">
        <f t="shared" si="3"/>
        <v>29760</v>
      </c>
      <c r="X20">
        <v>1095</v>
      </c>
      <c r="Y20" t="s">
        <v>64</v>
      </c>
      <c r="Z20" t="s">
        <v>38</v>
      </c>
      <c r="AC20" t="s">
        <v>47</v>
      </c>
    </row>
    <row r="21" spans="1:29" x14ac:dyDescent="0.3">
      <c r="A21" t="s">
        <v>30</v>
      </c>
      <c r="B21" t="s">
        <v>39</v>
      </c>
      <c r="C21" t="s">
        <v>40</v>
      </c>
      <c r="D21" t="s">
        <v>32</v>
      </c>
      <c r="E21" t="s">
        <v>33</v>
      </c>
      <c r="F21" s="2">
        <v>46227</v>
      </c>
      <c r="G21">
        <v>19</v>
      </c>
      <c r="H21" t="s">
        <v>110</v>
      </c>
      <c r="I21" t="s">
        <v>111</v>
      </c>
      <c r="J21" t="s">
        <v>111</v>
      </c>
      <c r="K21" t="s">
        <v>43</v>
      </c>
      <c r="L21" t="s">
        <v>112</v>
      </c>
      <c r="M21">
        <v>71</v>
      </c>
      <c r="N21">
        <v>71</v>
      </c>
      <c r="O21" t="s">
        <v>103</v>
      </c>
      <c r="P21">
        <v>1</v>
      </c>
      <c r="Q21">
        <f t="shared" si="0"/>
        <v>71</v>
      </c>
      <c r="R21" s="1">
        <v>495</v>
      </c>
      <c r="S21" s="1">
        <v>495</v>
      </c>
      <c r="T21" t="str">
        <f t="shared" si="1"/>
        <v>相符</v>
      </c>
      <c r="V21">
        <f t="shared" si="2"/>
        <v>495</v>
      </c>
      <c r="W21">
        <f t="shared" si="3"/>
        <v>35145</v>
      </c>
      <c r="X21">
        <v>1095</v>
      </c>
      <c r="Y21" t="s">
        <v>64</v>
      </c>
      <c r="Z21" t="s">
        <v>38</v>
      </c>
      <c r="AC21" t="s">
        <v>47</v>
      </c>
    </row>
    <row r="22" spans="1:29" x14ac:dyDescent="0.3">
      <c r="A22" t="s">
        <v>30</v>
      </c>
      <c r="B22" t="s">
        <v>39</v>
      </c>
      <c r="C22" t="s">
        <v>40</v>
      </c>
      <c r="D22" t="s">
        <v>32</v>
      </c>
      <c r="E22" t="s">
        <v>33</v>
      </c>
      <c r="F22" s="2">
        <v>46227</v>
      </c>
      <c r="G22">
        <v>20</v>
      </c>
      <c r="H22" t="s">
        <v>113</v>
      </c>
      <c r="I22" t="s">
        <v>114</v>
      </c>
      <c r="J22" t="s">
        <v>114</v>
      </c>
      <c r="K22" t="s">
        <v>43</v>
      </c>
      <c r="L22" t="s">
        <v>115</v>
      </c>
      <c r="M22">
        <v>80</v>
      </c>
      <c r="N22">
        <v>80</v>
      </c>
      <c r="O22" t="s">
        <v>103</v>
      </c>
      <c r="P22">
        <v>1</v>
      </c>
      <c r="Q22">
        <f t="shared" si="0"/>
        <v>80</v>
      </c>
      <c r="R22" s="1">
        <v>495</v>
      </c>
      <c r="S22" s="1">
        <v>495</v>
      </c>
      <c r="T22" t="str">
        <f t="shared" si="1"/>
        <v>相符</v>
      </c>
      <c r="V22">
        <f t="shared" si="2"/>
        <v>495</v>
      </c>
      <c r="W22">
        <f t="shared" si="3"/>
        <v>39600</v>
      </c>
      <c r="X22">
        <v>1095</v>
      </c>
      <c r="Y22" t="s">
        <v>64</v>
      </c>
      <c r="Z22" t="s">
        <v>38</v>
      </c>
      <c r="AC22" t="s">
        <v>47</v>
      </c>
    </row>
    <row r="23" spans="1:29" x14ac:dyDescent="0.3">
      <c r="A23" t="s">
        <v>30</v>
      </c>
      <c r="B23" t="s">
        <v>39</v>
      </c>
      <c r="C23" t="s">
        <v>40</v>
      </c>
      <c r="D23" t="s">
        <v>32</v>
      </c>
      <c r="E23" t="s">
        <v>33</v>
      </c>
      <c r="F23" s="2">
        <v>46227</v>
      </c>
      <c r="G23">
        <v>21</v>
      </c>
      <c r="H23" t="s">
        <v>116</v>
      </c>
      <c r="I23" t="s">
        <v>117</v>
      </c>
      <c r="J23" t="s">
        <v>117</v>
      </c>
      <c r="K23" t="s">
        <v>43</v>
      </c>
      <c r="L23" t="s">
        <v>118</v>
      </c>
      <c r="M23">
        <v>84</v>
      </c>
      <c r="N23">
        <v>84</v>
      </c>
      <c r="O23" t="s">
        <v>103</v>
      </c>
      <c r="P23">
        <v>1</v>
      </c>
      <c r="Q23">
        <f t="shared" si="0"/>
        <v>84</v>
      </c>
      <c r="R23" s="1">
        <v>495</v>
      </c>
      <c r="S23" s="1">
        <v>495</v>
      </c>
      <c r="T23" t="str">
        <f t="shared" si="1"/>
        <v>相符</v>
      </c>
      <c r="V23">
        <f t="shared" si="2"/>
        <v>495</v>
      </c>
      <c r="W23">
        <f t="shared" si="3"/>
        <v>41580</v>
      </c>
      <c r="X23">
        <v>1095</v>
      </c>
      <c r="Y23" t="s">
        <v>64</v>
      </c>
      <c r="Z23" t="s">
        <v>38</v>
      </c>
      <c r="AC23" t="s">
        <v>47</v>
      </c>
    </row>
    <row r="24" spans="1:29" x14ac:dyDescent="0.3">
      <c r="A24" t="s">
        <v>30</v>
      </c>
      <c r="B24" t="s">
        <v>39</v>
      </c>
      <c r="C24" t="s">
        <v>40</v>
      </c>
      <c r="D24" t="s">
        <v>32</v>
      </c>
      <c r="E24" t="s">
        <v>33</v>
      </c>
      <c r="F24" s="2">
        <v>46227</v>
      </c>
      <c r="G24">
        <v>22</v>
      </c>
      <c r="H24" t="s">
        <v>119</v>
      </c>
      <c r="I24" t="s">
        <v>120</v>
      </c>
      <c r="J24" t="s">
        <v>120</v>
      </c>
      <c r="K24" t="s">
        <v>43</v>
      </c>
      <c r="L24" t="s">
        <v>121</v>
      </c>
      <c r="M24">
        <v>200</v>
      </c>
      <c r="N24">
        <v>200</v>
      </c>
      <c r="O24" t="s">
        <v>103</v>
      </c>
      <c r="P24">
        <v>1</v>
      </c>
      <c r="Q24">
        <f t="shared" si="0"/>
        <v>200</v>
      </c>
      <c r="R24" s="1">
        <v>883</v>
      </c>
      <c r="S24" s="1">
        <v>883</v>
      </c>
      <c r="T24" t="str">
        <f t="shared" si="1"/>
        <v>相符</v>
      </c>
      <c r="V24">
        <f t="shared" si="2"/>
        <v>883</v>
      </c>
      <c r="W24">
        <f t="shared" si="3"/>
        <v>176600</v>
      </c>
      <c r="X24">
        <v>1095</v>
      </c>
      <c r="Y24" t="s">
        <v>64</v>
      </c>
      <c r="Z24" t="s">
        <v>38</v>
      </c>
      <c r="AC24" t="s">
        <v>47</v>
      </c>
    </row>
    <row r="25" spans="1:29" x14ac:dyDescent="0.3">
      <c r="A25" t="s">
        <v>30</v>
      </c>
      <c r="B25" t="s">
        <v>39</v>
      </c>
      <c r="C25" t="s">
        <v>40</v>
      </c>
      <c r="D25" t="s">
        <v>32</v>
      </c>
      <c r="E25" t="s">
        <v>33</v>
      </c>
      <c r="F25" s="2">
        <v>46227</v>
      </c>
      <c r="G25">
        <v>23</v>
      </c>
      <c r="H25" t="s">
        <v>122</v>
      </c>
      <c r="I25" t="s">
        <v>123</v>
      </c>
      <c r="J25" t="s">
        <v>123</v>
      </c>
      <c r="K25" t="s">
        <v>43</v>
      </c>
      <c r="L25" t="s">
        <v>124</v>
      </c>
      <c r="M25">
        <v>48</v>
      </c>
      <c r="N25">
        <v>48</v>
      </c>
      <c r="O25" t="s">
        <v>103</v>
      </c>
      <c r="P25">
        <v>1</v>
      </c>
      <c r="Q25">
        <f t="shared" si="0"/>
        <v>48</v>
      </c>
      <c r="R25" s="1">
        <v>883</v>
      </c>
      <c r="S25" s="1">
        <v>883</v>
      </c>
      <c r="T25" t="str">
        <f t="shared" si="1"/>
        <v>相符</v>
      </c>
      <c r="V25">
        <f t="shared" si="2"/>
        <v>883</v>
      </c>
      <c r="W25">
        <f t="shared" si="3"/>
        <v>42384</v>
      </c>
      <c r="X25">
        <v>1095</v>
      </c>
      <c r="Y25" t="s">
        <v>64</v>
      </c>
      <c r="Z25" t="s">
        <v>38</v>
      </c>
      <c r="AC25" t="s">
        <v>47</v>
      </c>
    </row>
    <row r="26" spans="1:29" x14ac:dyDescent="0.3">
      <c r="A26" t="s">
        <v>30</v>
      </c>
      <c r="B26" t="s">
        <v>39</v>
      </c>
      <c r="C26" t="s">
        <v>40</v>
      </c>
      <c r="D26" t="s">
        <v>32</v>
      </c>
      <c r="E26" t="s">
        <v>33</v>
      </c>
      <c r="F26" s="2">
        <v>46227</v>
      </c>
      <c r="G26">
        <v>24</v>
      </c>
      <c r="H26" t="s">
        <v>125</v>
      </c>
      <c r="I26" t="s">
        <v>126</v>
      </c>
      <c r="J26" t="s">
        <v>126</v>
      </c>
      <c r="K26" t="s">
        <v>127</v>
      </c>
      <c r="L26" t="s">
        <v>128</v>
      </c>
      <c r="M26">
        <v>360</v>
      </c>
      <c r="N26">
        <v>360</v>
      </c>
      <c r="O26" t="s">
        <v>80</v>
      </c>
      <c r="P26">
        <v>8</v>
      </c>
      <c r="Q26">
        <f t="shared" si="0"/>
        <v>45</v>
      </c>
      <c r="R26" s="1">
        <v>272</v>
      </c>
      <c r="S26" s="1">
        <v>272</v>
      </c>
      <c r="T26" t="str">
        <f t="shared" si="1"/>
        <v>相符</v>
      </c>
      <c r="V26">
        <f t="shared" si="2"/>
        <v>2176</v>
      </c>
      <c r="W26">
        <f t="shared" si="3"/>
        <v>97920</v>
      </c>
      <c r="X26">
        <v>730</v>
      </c>
      <c r="Y26" t="s">
        <v>77</v>
      </c>
      <c r="Z26" t="s">
        <v>38</v>
      </c>
      <c r="AC26" t="s">
        <v>47</v>
      </c>
    </row>
    <row r="27" spans="1:29" x14ac:dyDescent="0.3">
      <c r="A27" t="s">
        <v>30</v>
      </c>
      <c r="B27" t="s">
        <v>39</v>
      </c>
      <c r="C27" t="s">
        <v>40</v>
      </c>
      <c r="D27" t="s">
        <v>32</v>
      </c>
      <c r="E27" t="s">
        <v>33</v>
      </c>
      <c r="F27" s="2">
        <v>46227</v>
      </c>
      <c r="G27">
        <v>25</v>
      </c>
      <c r="H27" t="s">
        <v>129</v>
      </c>
      <c r="I27" t="s">
        <v>130</v>
      </c>
      <c r="J27" t="s">
        <v>130</v>
      </c>
      <c r="K27" t="s">
        <v>127</v>
      </c>
      <c r="L27" t="s">
        <v>131</v>
      </c>
      <c r="M27">
        <v>200</v>
      </c>
      <c r="N27">
        <v>200</v>
      </c>
      <c r="O27" t="s">
        <v>80</v>
      </c>
      <c r="P27">
        <v>8</v>
      </c>
      <c r="Q27">
        <f t="shared" si="0"/>
        <v>25</v>
      </c>
      <c r="R27" s="1">
        <v>272</v>
      </c>
      <c r="S27" s="1">
        <v>272</v>
      </c>
      <c r="T27" t="str">
        <f t="shared" si="1"/>
        <v>相符</v>
      </c>
      <c r="V27">
        <f t="shared" si="2"/>
        <v>2176</v>
      </c>
      <c r="W27">
        <f t="shared" si="3"/>
        <v>54400</v>
      </c>
      <c r="X27">
        <v>730</v>
      </c>
      <c r="Y27" t="s">
        <v>77</v>
      </c>
      <c r="Z27" t="s">
        <v>38</v>
      </c>
      <c r="AC27" t="s">
        <v>47</v>
      </c>
    </row>
    <row r="28" spans="1:29" x14ac:dyDescent="0.3">
      <c r="A28" t="s">
        <v>30</v>
      </c>
      <c r="B28" t="s">
        <v>39</v>
      </c>
      <c r="C28" t="s">
        <v>40</v>
      </c>
      <c r="D28" t="s">
        <v>32</v>
      </c>
      <c r="E28" t="s">
        <v>33</v>
      </c>
      <c r="F28" s="2">
        <v>46227</v>
      </c>
      <c r="G28">
        <v>26</v>
      </c>
      <c r="H28" t="s">
        <v>132</v>
      </c>
      <c r="I28" t="s">
        <v>133</v>
      </c>
      <c r="J28" t="s">
        <v>133</v>
      </c>
      <c r="K28" t="s">
        <v>127</v>
      </c>
      <c r="L28" t="s">
        <v>134</v>
      </c>
      <c r="M28">
        <v>144</v>
      </c>
      <c r="N28">
        <v>144</v>
      </c>
      <c r="O28" t="s">
        <v>80</v>
      </c>
      <c r="P28">
        <v>8</v>
      </c>
      <c r="Q28">
        <f t="shared" si="0"/>
        <v>18</v>
      </c>
      <c r="R28" s="1">
        <v>272</v>
      </c>
      <c r="S28" s="1">
        <v>272</v>
      </c>
      <c r="T28" t="str">
        <f t="shared" si="1"/>
        <v>相符</v>
      </c>
      <c r="V28">
        <f t="shared" si="2"/>
        <v>2176</v>
      </c>
      <c r="W28">
        <f t="shared" si="3"/>
        <v>39168</v>
      </c>
      <c r="X28">
        <v>730</v>
      </c>
      <c r="Y28" t="s">
        <v>77</v>
      </c>
      <c r="Z28" t="s">
        <v>38</v>
      </c>
      <c r="AC28" t="s">
        <v>47</v>
      </c>
    </row>
    <row r="29" spans="1:29" x14ac:dyDescent="0.3">
      <c r="A29" t="s">
        <v>30</v>
      </c>
      <c r="B29" t="s">
        <v>39</v>
      </c>
      <c r="C29" t="s">
        <v>40</v>
      </c>
      <c r="D29" t="s">
        <v>32</v>
      </c>
      <c r="E29" t="s">
        <v>33</v>
      </c>
      <c r="F29" s="2">
        <v>46227</v>
      </c>
      <c r="G29">
        <v>27</v>
      </c>
      <c r="H29" t="s">
        <v>135</v>
      </c>
      <c r="I29" t="s">
        <v>136</v>
      </c>
      <c r="J29" t="s">
        <v>136</v>
      </c>
      <c r="K29" t="s">
        <v>127</v>
      </c>
      <c r="L29" t="s">
        <v>137</v>
      </c>
      <c r="M29">
        <v>24</v>
      </c>
      <c r="N29">
        <v>24</v>
      </c>
      <c r="O29" t="s">
        <v>80</v>
      </c>
      <c r="P29">
        <v>8</v>
      </c>
      <c r="Q29">
        <f t="shared" si="0"/>
        <v>3</v>
      </c>
      <c r="R29" s="1">
        <v>272</v>
      </c>
      <c r="S29" s="1">
        <v>272</v>
      </c>
      <c r="T29" t="str">
        <f t="shared" si="1"/>
        <v>相符</v>
      </c>
      <c r="V29">
        <f t="shared" si="2"/>
        <v>2176</v>
      </c>
      <c r="W29">
        <f t="shared" si="3"/>
        <v>6528</v>
      </c>
      <c r="X29">
        <v>730</v>
      </c>
      <c r="Y29" t="s">
        <v>77</v>
      </c>
      <c r="Z29" t="s">
        <v>38</v>
      </c>
      <c r="AC29" t="s">
        <v>47</v>
      </c>
    </row>
    <row r="30" spans="1:29" x14ac:dyDescent="0.3">
      <c r="A30" t="s">
        <v>30</v>
      </c>
      <c r="B30" t="s">
        <v>39</v>
      </c>
      <c r="C30" t="s">
        <v>40</v>
      </c>
      <c r="D30" t="s">
        <v>32</v>
      </c>
      <c r="E30" t="s">
        <v>33</v>
      </c>
      <c r="F30" s="2">
        <v>46227</v>
      </c>
      <c r="G30">
        <v>28</v>
      </c>
      <c r="H30" t="s">
        <v>138</v>
      </c>
      <c r="I30" t="s">
        <v>139</v>
      </c>
      <c r="J30" t="s">
        <v>139</v>
      </c>
      <c r="K30" t="s">
        <v>127</v>
      </c>
      <c r="L30" t="s">
        <v>140</v>
      </c>
      <c r="M30">
        <v>200</v>
      </c>
      <c r="N30">
        <v>200</v>
      </c>
      <c r="O30" t="s">
        <v>80</v>
      </c>
      <c r="P30">
        <v>8</v>
      </c>
      <c r="Q30">
        <f t="shared" si="0"/>
        <v>25</v>
      </c>
      <c r="R30" s="1">
        <v>272</v>
      </c>
      <c r="S30" s="1">
        <v>272</v>
      </c>
      <c r="T30" t="str">
        <f t="shared" si="1"/>
        <v>相符</v>
      </c>
      <c r="V30">
        <f t="shared" si="2"/>
        <v>2176</v>
      </c>
      <c r="W30">
        <f t="shared" si="3"/>
        <v>54400</v>
      </c>
      <c r="X30">
        <v>730</v>
      </c>
      <c r="Y30" t="s">
        <v>77</v>
      </c>
      <c r="Z30" t="s">
        <v>38</v>
      </c>
      <c r="AC30" t="s">
        <v>47</v>
      </c>
    </row>
    <row r="31" spans="1:29" x14ac:dyDescent="0.3">
      <c r="A31" t="s">
        <v>30</v>
      </c>
      <c r="B31" t="s">
        <v>39</v>
      </c>
      <c r="C31" t="s">
        <v>141</v>
      </c>
      <c r="D31" t="s">
        <v>32</v>
      </c>
      <c r="E31" t="s">
        <v>33</v>
      </c>
      <c r="F31" s="2">
        <v>46226</v>
      </c>
      <c r="G31">
        <v>1</v>
      </c>
      <c r="H31" t="s">
        <v>142</v>
      </c>
      <c r="I31" t="s">
        <v>143</v>
      </c>
      <c r="J31" t="s">
        <v>144</v>
      </c>
      <c r="K31" t="s">
        <v>145</v>
      </c>
      <c r="L31" t="s">
        <v>146</v>
      </c>
      <c r="M31">
        <v>400</v>
      </c>
      <c r="N31">
        <v>400</v>
      </c>
      <c r="O31" t="s">
        <v>147</v>
      </c>
      <c r="P31">
        <v>9</v>
      </c>
      <c r="Q31">
        <f t="shared" si="0"/>
        <v>44.444444444444443</v>
      </c>
      <c r="R31" s="1">
        <v>234</v>
      </c>
      <c r="S31" s="1">
        <v>234</v>
      </c>
      <c r="T31" t="str">
        <f t="shared" si="1"/>
        <v>相符</v>
      </c>
      <c r="V31">
        <f t="shared" si="2"/>
        <v>2106</v>
      </c>
      <c r="W31">
        <f t="shared" si="3"/>
        <v>93600</v>
      </c>
      <c r="X31">
        <v>1095</v>
      </c>
      <c r="Y31" t="s">
        <v>148</v>
      </c>
      <c r="Z31" t="s">
        <v>38</v>
      </c>
      <c r="AC31" t="s">
        <v>47</v>
      </c>
    </row>
    <row r="32" spans="1:29" x14ac:dyDescent="0.3">
      <c r="A32" t="s">
        <v>30</v>
      </c>
      <c r="B32" t="s">
        <v>39</v>
      </c>
      <c r="C32" t="s">
        <v>141</v>
      </c>
      <c r="D32" t="s">
        <v>32</v>
      </c>
      <c r="E32" t="s">
        <v>33</v>
      </c>
      <c r="F32" s="2">
        <v>46226</v>
      </c>
      <c r="G32">
        <v>2</v>
      </c>
      <c r="H32" t="s">
        <v>149</v>
      </c>
      <c r="I32" t="s">
        <v>150</v>
      </c>
      <c r="J32" t="s">
        <v>150</v>
      </c>
      <c r="K32" t="s">
        <v>151</v>
      </c>
      <c r="L32" t="s">
        <v>152</v>
      </c>
      <c r="M32">
        <v>1200</v>
      </c>
      <c r="N32">
        <v>1200</v>
      </c>
      <c r="O32" t="s">
        <v>147</v>
      </c>
      <c r="P32">
        <v>6</v>
      </c>
      <c r="Q32">
        <f t="shared" si="0"/>
        <v>200</v>
      </c>
      <c r="R32" s="1">
        <v>173</v>
      </c>
      <c r="S32" s="1">
        <v>173</v>
      </c>
      <c r="T32" t="str">
        <f t="shared" si="1"/>
        <v>相符</v>
      </c>
      <c r="V32">
        <f t="shared" si="2"/>
        <v>1038</v>
      </c>
      <c r="W32">
        <f t="shared" si="3"/>
        <v>207600</v>
      </c>
      <c r="X32">
        <v>1095</v>
      </c>
      <c r="Y32" t="s">
        <v>148</v>
      </c>
      <c r="Z32" t="s">
        <v>38</v>
      </c>
      <c r="AC32" t="s">
        <v>47</v>
      </c>
    </row>
    <row r="33" spans="1:29" x14ac:dyDescent="0.3">
      <c r="A33" t="s">
        <v>30</v>
      </c>
      <c r="B33" t="s">
        <v>39</v>
      </c>
      <c r="C33" t="s">
        <v>141</v>
      </c>
      <c r="D33" t="s">
        <v>32</v>
      </c>
      <c r="E33" t="s">
        <v>33</v>
      </c>
      <c r="F33" s="2">
        <v>46226</v>
      </c>
      <c r="G33">
        <v>3</v>
      </c>
      <c r="H33" t="s">
        <v>153</v>
      </c>
      <c r="I33" t="s">
        <v>154</v>
      </c>
      <c r="J33" t="s">
        <v>155</v>
      </c>
      <c r="K33" t="s">
        <v>145</v>
      </c>
      <c r="L33" t="s">
        <v>156</v>
      </c>
      <c r="M33">
        <v>600</v>
      </c>
      <c r="N33">
        <v>600</v>
      </c>
      <c r="O33" t="s">
        <v>147</v>
      </c>
      <c r="P33">
        <v>9</v>
      </c>
      <c r="Q33">
        <f t="shared" si="0"/>
        <v>66.666666666666671</v>
      </c>
      <c r="R33" s="1">
        <v>234</v>
      </c>
      <c r="S33" s="1">
        <v>234</v>
      </c>
      <c r="T33" t="str">
        <f t="shared" si="1"/>
        <v>相符</v>
      </c>
      <c r="V33">
        <f t="shared" si="2"/>
        <v>2106</v>
      </c>
      <c r="W33">
        <f t="shared" si="3"/>
        <v>140400</v>
      </c>
      <c r="X33">
        <v>1095</v>
      </c>
      <c r="Y33" t="s">
        <v>148</v>
      </c>
      <c r="Z33" t="s">
        <v>38</v>
      </c>
      <c r="AC33" t="s">
        <v>47</v>
      </c>
    </row>
    <row r="34" spans="1:29" x14ac:dyDescent="0.3">
      <c r="A34" t="s">
        <v>30</v>
      </c>
      <c r="B34" t="s">
        <v>39</v>
      </c>
      <c r="C34" t="s">
        <v>141</v>
      </c>
      <c r="D34" t="s">
        <v>32</v>
      </c>
      <c r="E34" t="s">
        <v>33</v>
      </c>
      <c r="F34" s="2">
        <v>46226</v>
      </c>
      <c r="G34">
        <v>4</v>
      </c>
      <c r="H34" t="s">
        <v>157</v>
      </c>
      <c r="I34" t="s">
        <v>158</v>
      </c>
      <c r="J34" t="s">
        <v>159</v>
      </c>
      <c r="K34" t="s">
        <v>145</v>
      </c>
      <c r="L34" t="s">
        <v>160</v>
      </c>
      <c r="M34">
        <v>600</v>
      </c>
      <c r="N34">
        <v>600</v>
      </c>
      <c r="O34" t="s">
        <v>147</v>
      </c>
      <c r="P34">
        <v>9</v>
      </c>
      <c r="Q34">
        <f t="shared" ref="Q34:Q65" si="4">N34/P34</f>
        <v>66.666666666666671</v>
      </c>
      <c r="R34" s="1">
        <v>234</v>
      </c>
      <c r="S34" s="1">
        <v>234</v>
      </c>
      <c r="T34" t="str">
        <f t="shared" ref="T34:T65" si="5">IF(R34=S34,"相符","不相符")</f>
        <v>相符</v>
      </c>
      <c r="V34">
        <f t="shared" ref="V34:V54" si="6">P34*R34</f>
        <v>2106</v>
      </c>
      <c r="W34">
        <f t="shared" ref="W34:W65" si="7">Q34*V34</f>
        <v>140400</v>
      </c>
      <c r="X34">
        <v>1095</v>
      </c>
      <c r="Y34" t="s">
        <v>148</v>
      </c>
      <c r="Z34" t="s">
        <v>38</v>
      </c>
      <c r="AC34" t="s">
        <v>47</v>
      </c>
    </row>
    <row r="35" spans="1:29" x14ac:dyDescent="0.3">
      <c r="A35" t="s">
        <v>30</v>
      </c>
      <c r="B35" t="s">
        <v>39</v>
      </c>
      <c r="C35" t="s">
        <v>141</v>
      </c>
      <c r="D35" t="s">
        <v>32</v>
      </c>
      <c r="E35" t="s">
        <v>33</v>
      </c>
      <c r="F35" s="2">
        <v>46226</v>
      </c>
      <c r="G35">
        <v>5</v>
      </c>
      <c r="H35" t="s">
        <v>161</v>
      </c>
      <c r="I35" t="s">
        <v>162</v>
      </c>
      <c r="J35" t="s">
        <v>162</v>
      </c>
      <c r="K35" t="s">
        <v>151</v>
      </c>
      <c r="L35" t="s">
        <v>163</v>
      </c>
      <c r="M35">
        <v>720</v>
      </c>
      <c r="N35">
        <v>720</v>
      </c>
      <c r="O35" t="s">
        <v>147</v>
      </c>
      <c r="P35">
        <v>6</v>
      </c>
      <c r="Q35">
        <f t="shared" si="4"/>
        <v>120</v>
      </c>
      <c r="R35" s="1">
        <v>170</v>
      </c>
      <c r="S35" s="1">
        <v>170</v>
      </c>
      <c r="T35" t="str">
        <f t="shared" si="5"/>
        <v>相符</v>
      </c>
      <c r="V35">
        <f t="shared" si="6"/>
        <v>1020</v>
      </c>
      <c r="W35">
        <f t="shared" si="7"/>
        <v>122400</v>
      </c>
      <c r="X35">
        <v>1095</v>
      </c>
      <c r="Y35" t="s">
        <v>148</v>
      </c>
      <c r="Z35" t="s">
        <v>38</v>
      </c>
      <c r="AC35" t="s">
        <v>47</v>
      </c>
    </row>
    <row r="36" spans="1:29" x14ac:dyDescent="0.3">
      <c r="A36" t="s">
        <v>30</v>
      </c>
      <c r="B36" t="s">
        <v>39</v>
      </c>
      <c r="C36" t="s">
        <v>141</v>
      </c>
      <c r="D36" t="s">
        <v>32</v>
      </c>
      <c r="E36" t="s">
        <v>33</v>
      </c>
      <c r="F36" s="2">
        <v>46226</v>
      </c>
      <c r="G36">
        <v>6</v>
      </c>
      <c r="H36" t="s">
        <v>164</v>
      </c>
      <c r="I36" t="s">
        <v>165</v>
      </c>
      <c r="J36" t="s">
        <v>166</v>
      </c>
      <c r="K36" t="s">
        <v>67</v>
      </c>
      <c r="L36" t="s">
        <v>167</v>
      </c>
      <c r="M36">
        <v>240</v>
      </c>
      <c r="N36">
        <v>240</v>
      </c>
      <c r="O36" t="s">
        <v>69</v>
      </c>
      <c r="P36">
        <v>20</v>
      </c>
      <c r="Q36">
        <f t="shared" si="4"/>
        <v>12</v>
      </c>
      <c r="R36" s="1">
        <v>323</v>
      </c>
      <c r="S36" s="1">
        <v>323</v>
      </c>
      <c r="T36" t="str">
        <f t="shared" si="5"/>
        <v>相符</v>
      </c>
      <c r="V36">
        <f t="shared" si="6"/>
        <v>6460</v>
      </c>
      <c r="W36">
        <f t="shared" si="7"/>
        <v>77520</v>
      </c>
      <c r="X36">
        <v>1825</v>
      </c>
      <c r="Y36" t="s">
        <v>70</v>
      </c>
      <c r="Z36" t="s">
        <v>38</v>
      </c>
      <c r="AC36" t="s">
        <v>47</v>
      </c>
    </row>
    <row r="37" spans="1:29" x14ac:dyDescent="0.3">
      <c r="A37" t="s">
        <v>30</v>
      </c>
      <c r="B37" t="s">
        <v>39</v>
      </c>
      <c r="C37" t="s">
        <v>141</v>
      </c>
      <c r="D37" t="s">
        <v>32</v>
      </c>
      <c r="E37" t="s">
        <v>33</v>
      </c>
      <c r="F37" s="2">
        <v>46226</v>
      </c>
      <c r="G37">
        <v>7</v>
      </c>
      <c r="H37" t="s">
        <v>168</v>
      </c>
      <c r="I37" t="s">
        <v>169</v>
      </c>
      <c r="J37" t="s">
        <v>169</v>
      </c>
      <c r="K37" t="s">
        <v>67</v>
      </c>
      <c r="L37" t="s">
        <v>170</v>
      </c>
      <c r="M37">
        <v>360</v>
      </c>
      <c r="N37">
        <v>360</v>
      </c>
      <c r="O37" t="s">
        <v>69</v>
      </c>
      <c r="P37">
        <v>10</v>
      </c>
      <c r="Q37">
        <f t="shared" si="4"/>
        <v>36</v>
      </c>
      <c r="R37" s="1">
        <v>557</v>
      </c>
      <c r="S37" s="1">
        <v>557</v>
      </c>
      <c r="T37" t="str">
        <f t="shared" si="5"/>
        <v>相符</v>
      </c>
      <c r="V37">
        <f t="shared" si="6"/>
        <v>5570</v>
      </c>
      <c r="W37">
        <f t="shared" si="7"/>
        <v>200520</v>
      </c>
      <c r="X37">
        <v>1825</v>
      </c>
      <c r="Y37" t="s">
        <v>70</v>
      </c>
      <c r="Z37" t="s">
        <v>38</v>
      </c>
      <c r="AC37" t="s">
        <v>47</v>
      </c>
    </row>
    <row r="38" spans="1:29" x14ac:dyDescent="0.3">
      <c r="A38" t="s">
        <v>30</v>
      </c>
      <c r="B38" t="s">
        <v>39</v>
      </c>
      <c r="C38" t="s">
        <v>141</v>
      </c>
      <c r="D38" t="s">
        <v>32</v>
      </c>
      <c r="E38" t="s">
        <v>33</v>
      </c>
      <c r="F38" s="2">
        <v>46226</v>
      </c>
      <c r="G38">
        <v>8</v>
      </c>
      <c r="H38" t="s">
        <v>171</v>
      </c>
      <c r="I38" t="s">
        <v>172</v>
      </c>
      <c r="J38" t="s">
        <v>172</v>
      </c>
      <c r="K38" t="s">
        <v>67</v>
      </c>
      <c r="L38" t="s">
        <v>173</v>
      </c>
      <c r="M38">
        <v>342</v>
      </c>
      <c r="N38">
        <v>342</v>
      </c>
      <c r="O38" t="s">
        <v>69</v>
      </c>
      <c r="P38">
        <v>6</v>
      </c>
      <c r="Q38">
        <f t="shared" si="4"/>
        <v>57</v>
      </c>
      <c r="R38" s="1">
        <v>185</v>
      </c>
      <c r="S38" s="1">
        <v>185</v>
      </c>
      <c r="T38" t="str">
        <f t="shared" si="5"/>
        <v>相符</v>
      </c>
      <c r="V38">
        <f t="shared" si="6"/>
        <v>1110</v>
      </c>
      <c r="W38">
        <f t="shared" si="7"/>
        <v>63270</v>
      </c>
      <c r="X38">
        <v>1825</v>
      </c>
      <c r="Y38" t="s">
        <v>70</v>
      </c>
      <c r="Z38" t="s">
        <v>38</v>
      </c>
      <c r="AC38" t="s">
        <v>47</v>
      </c>
    </row>
    <row r="39" spans="1:29" x14ac:dyDescent="0.3">
      <c r="A39" t="s">
        <v>30</v>
      </c>
      <c r="B39" t="s">
        <v>39</v>
      </c>
      <c r="C39" t="s">
        <v>141</v>
      </c>
      <c r="D39" t="s">
        <v>32</v>
      </c>
      <c r="E39" t="s">
        <v>33</v>
      </c>
      <c r="F39" s="2">
        <v>46226</v>
      </c>
      <c r="G39">
        <v>9</v>
      </c>
      <c r="H39" t="s">
        <v>174</v>
      </c>
      <c r="I39" t="s">
        <v>175</v>
      </c>
      <c r="J39" t="s">
        <v>175</v>
      </c>
      <c r="K39" t="s">
        <v>67</v>
      </c>
      <c r="L39" t="s">
        <v>176</v>
      </c>
      <c r="M39">
        <v>40</v>
      </c>
      <c r="N39">
        <v>40</v>
      </c>
      <c r="O39" t="s">
        <v>69</v>
      </c>
      <c r="P39">
        <v>6</v>
      </c>
      <c r="Q39">
        <f t="shared" si="4"/>
        <v>6.666666666666667</v>
      </c>
      <c r="R39" s="1">
        <v>228</v>
      </c>
      <c r="S39" s="1">
        <v>228</v>
      </c>
      <c r="T39" t="str">
        <f t="shared" si="5"/>
        <v>相符</v>
      </c>
      <c r="V39">
        <f t="shared" si="6"/>
        <v>1368</v>
      </c>
      <c r="W39">
        <f t="shared" si="7"/>
        <v>9120</v>
      </c>
      <c r="X39">
        <v>1825</v>
      </c>
      <c r="Y39" t="s">
        <v>70</v>
      </c>
      <c r="Z39" t="s">
        <v>38</v>
      </c>
      <c r="AC39" t="s">
        <v>47</v>
      </c>
    </row>
    <row r="40" spans="1:29" x14ac:dyDescent="0.3">
      <c r="A40" t="s">
        <v>30</v>
      </c>
      <c r="B40" t="s">
        <v>39</v>
      </c>
      <c r="C40" t="s">
        <v>141</v>
      </c>
      <c r="D40" t="s">
        <v>32</v>
      </c>
      <c r="E40" t="s">
        <v>33</v>
      </c>
      <c r="F40" s="2">
        <v>46226</v>
      </c>
      <c r="G40">
        <v>10</v>
      </c>
      <c r="H40" t="s">
        <v>177</v>
      </c>
      <c r="I40" t="s">
        <v>178</v>
      </c>
      <c r="J40" t="s">
        <v>178</v>
      </c>
      <c r="K40" t="s">
        <v>67</v>
      </c>
      <c r="L40" t="s">
        <v>179</v>
      </c>
      <c r="M40">
        <v>36</v>
      </c>
      <c r="N40">
        <v>36</v>
      </c>
      <c r="O40" t="s">
        <v>69</v>
      </c>
      <c r="P40">
        <v>12</v>
      </c>
      <c r="Q40">
        <f t="shared" si="4"/>
        <v>3</v>
      </c>
      <c r="R40" s="1">
        <v>260</v>
      </c>
      <c r="S40" s="1">
        <v>260</v>
      </c>
      <c r="T40" t="str">
        <f t="shared" si="5"/>
        <v>相符</v>
      </c>
      <c r="V40">
        <f t="shared" si="6"/>
        <v>3120</v>
      </c>
      <c r="W40">
        <f t="shared" si="7"/>
        <v>9360</v>
      </c>
      <c r="X40">
        <v>1825</v>
      </c>
      <c r="Y40" t="s">
        <v>70</v>
      </c>
      <c r="Z40" t="s">
        <v>38</v>
      </c>
      <c r="AC40" t="s">
        <v>47</v>
      </c>
    </row>
    <row r="41" spans="1:29" x14ac:dyDescent="0.3">
      <c r="A41" t="s">
        <v>30</v>
      </c>
      <c r="B41" t="s">
        <v>39</v>
      </c>
      <c r="C41" t="s">
        <v>141</v>
      </c>
      <c r="D41" t="s">
        <v>32</v>
      </c>
      <c r="E41" t="s">
        <v>33</v>
      </c>
      <c r="F41" s="2">
        <v>46226</v>
      </c>
      <c r="G41">
        <v>11</v>
      </c>
      <c r="H41" t="s">
        <v>180</v>
      </c>
      <c r="I41" t="s">
        <v>181</v>
      </c>
      <c r="J41" t="s">
        <v>181</v>
      </c>
      <c r="K41" t="s">
        <v>67</v>
      </c>
      <c r="L41" t="s">
        <v>182</v>
      </c>
      <c r="M41">
        <v>40</v>
      </c>
      <c r="N41">
        <v>40</v>
      </c>
      <c r="O41" t="s">
        <v>69</v>
      </c>
      <c r="P41">
        <v>4</v>
      </c>
      <c r="Q41">
        <f t="shared" si="4"/>
        <v>10</v>
      </c>
      <c r="R41" s="1">
        <v>165</v>
      </c>
      <c r="S41" s="1">
        <v>165</v>
      </c>
      <c r="T41" t="str">
        <f t="shared" si="5"/>
        <v>相符</v>
      </c>
      <c r="V41">
        <f t="shared" si="6"/>
        <v>660</v>
      </c>
      <c r="W41">
        <f t="shared" si="7"/>
        <v>6600</v>
      </c>
      <c r="X41">
        <v>1825</v>
      </c>
      <c r="Y41" t="s">
        <v>70</v>
      </c>
      <c r="Z41" t="s">
        <v>38</v>
      </c>
      <c r="AC41" t="s">
        <v>47</v>
      </c>
    </row>
    <row r="42" spans="1:29" x14ac:dyDescent="0.3">
      <c r="A42" t="s">
        <v>30</v>
      </c>
      <c r="B42" t="s">
        <v>39</v>
      </c>
      <c r="C42" t="s">
        <v>141</v>
      </c>
      <c r="D42" t="s">
        <v>32</v>
      </c>
      <c r="E42" t="s">
        <v>33</v>
      </c>
      <c r="F42" s="2">
        <v>46226</v>
      </c>
      <c r="G42">
        <v>12</v>
      </c>
      <c r="H42" t="s">
        <v>183</v>
      </c>
      <c r="I42" t="s">
        <v>184</v>
      </c>
      <c r="J42" t="s">
        <v>184</v>
      </c>
      <c r="K42" t="s">
        <v>43</v>
      </c>
      <c r="L42" t="s">
        <v>185</v>
      </c>
      <c r="M42">
        <v>16</v>
      </c>
      <c r="N42">
        <v>16</v>
      </c>
      <c r="O42" t="s">
        <v>45</v>
      </c>
      <c r="P42">
        <v>12</v>
      </c>
      <c r="Q42">
        <f t="shared" si="4"/>
        <v>1.3333333333333333</v>
      </c>
      <c r="R42" s="1">
        <v>95</v>
      </c>
      <c r="S42" s="1">
        <v>95</v>
      </c>
      <c r="T42" t="str">
        <f t="shared" si="5"/>
        <v>相符</v>
      </c>
      <c r="V42">
        <f t="shared" si="6"/>
        <v>1140</v>
      </c>
      <c r="W42">
        <f t="shared" si="7"/>
        <v>1520</v>
      </c>
      <c r="X42">
        <v>1095</v>
      </c>
      <c r="Y42" t="s">
        <v>37</v>
      </c>
      <c r="Z42" t="s">
        <v>38</v>
      </c>
      <c r="AC42" t="s">
        <v>47</v>
      </c>
    </row>
    <row r="43" spans="1:29" x14ac:dyDescent="0.3">
      <c r="A43" t="s">
        <v>30</v>
      </c>
      <c r="B43" t="s">
        <v>39</v>
      </c>
      <c r="C43" t="s">
        <v>141</v>
      </c>
      <c r="D43" t="s">
        <v>32</v>
      </c>
      <c r="E43" t="s">
        <v>33</v>
      </c>
      <c r="F43" s="2">
        <v>46226</v>
      </c>
      <c r="G43">
        <v>13</v>
      </c>
      <c r="H43" t="s">
        <v>186</v>
      </c>
      <c r="I43" t="s">
        <v>187</v>
      </c>
      <c r="J43" t="s">
        <v>187</v>
      </c>
      <c r="K43" t="s">
        <v>67</v>
      </c>
      <c r="L43" t="s">
        <v>188</v>
      </c>
      <c r="M43">
        <v>516</v>
      </c>
      <c r="N43">
        <v>516</v>
      </c>
      <c r="O43" t="s">
        <v>69</v>
      </c>
      <c r="P43">
        <v>12</v>
      </c>
      <c r="Q43">
        <f t="shared" si="4"/>
        <v>43</v>
      </c>
      <c r="R43" s="1">
        <v>93</v>
      </c>
      <c r="S43" s="1">
        <v>93</v>
      </c>
      <c r="T43" t="str">
        <f t="shared" si="5"/>
        <v>相符</v>
      </c>
      <c r="V43">
        <f t="shared" si="6"/>
        <v>1116</v>
      </c>
      <c r="W43">
        <f t="shared" si="7"/>
        <v>47988</v>
      </c>
      <c r="X43">
        <v>1825</v>
      </c>
      <c r="Y43" t="s">
        <v>70</v>
      </c>
      <c r="Z43" t="s">
        <v>38</v>
      </c>
      <c r="AC43" t="s">
        <v>47</v>
      </c>
    </row>
    <row r="44" spans="1:29" x14ac:dyDescent="0.3">
      <c r="A44" t="s">
        <v>30</v>
      </c>
      <c r="B44" t="s">
        <v>39</v>
      </c>
      <c r="C44" t="s">
        <v>141</v>
      </c>
      <c r="D44" t="s">
        <v>32</v>
      </c>
      <c r="E44" t="s">
        <v>33</v>
      </c>
      <c r="F44" s="2">
        <v>46226</v>
      </c>
      <c r="G44">
        <v>14</v>
      </c>
      <c r="H44" t="s">
        <v>189</v>
      </c>
      <c r="I44" t="s">
        <v>190</v>
      </c>
      <c r="J44" t="s">
        <v>190</v>
      </c>
      <c r="K44" t="s">
        <v>43</v>
      </c>
      <c r="L44" t="s">
        <v>191</v>
      </c>
      <c r="M44">
        <v>120</v>
      </c>
      <c r="N44">
        <v>120</v>
      </c>
      <c r="O44" t="s">
        <v>45</v>
      </c>
      <c r="P44">
        <v>12</v>
      </c>
      <c r="Q44">
        <f t="shared" si="4"/>
        <v>10</v>
      </c>
      <c r="R44" s="1">
        <v>74</v>
      </c>
      <c r="S44" s="1">
        <v>74</v>
      </c>
      <c r="T44" t="str">
        <f t="shared" si="5"/>
        <v>相符</v>
      </c>
      <c r="V44">
        <f t="shared" si="6"/>
        <v>888</v>
      </c>
      <c r="W44">
        <f t="shared" si="7"/>
        <v>8880</v>
      </c>
      <c r="X44">
        <v>1095</v>
      </c>
      <c r="Y44" t="s">
        <v>37</v>
      </c>
      <c r="Z44" t="s">
        <v>38</v>
      </c>
      <c r="AC44" t="s">
        <v>47</v>
      </c>
    </row>
    <row r="45" spans="1:29" x14ac:dyDescent="0.3">
      <c r="A45" t="s">
        <v>30</v>
      </c>
      <c r="B45" t="s">
        <v>39</v>
      </c>
      <c r="C45" t="s">
        <v>141</v>
      </c>
      <c r="D45" t="s">
        <v>32</v>
      </c>
      <c r="E45" t="s">
        <v>33</v>
      </c>
      <c r="F45" s="2">
        <v>46226</v>
      </c>
      <c r="G45">
        <v>15</v>
      </c>
      <c r="H45" t="s">
        <v>192</v>
      </c>
      <c r="I45" t="s">
        <v>193</v>
      </c>
      <c r="J45" t="s">
        <v>193</v>
      </c>
      <c r="K45" t="s">
        <v>43</v>
      </c>
      <c r="L45" t="s">
        <v>194</v>
      </c>
      <c r="M45">
        <v>48</v>
      </c>
      <c r="N45">
        <v>48</v>
      </c>
      <c r="O45" t="s">
        <v>45</v>
      </c>
      <c r="P45">
        <v>6</v>
      </c>
      <c r="Q45">
        <f t="shared" si="4"/>
        <v>8</v>
      </c>
      <c r="R45" s="1">
        <v>177</v>
      </c>
      <c r="S45" s="1">
        <v>177</v>
      </c>
      <c r="T45" t="str">
        <f t="shared" si="5"/>
        <v>相符</v>
      </c>
      <c r="V45">
        <f t="shared" si="6"/>
        <v>1062</v>
      </c>
      <c r="W45">
        <f t="shared" si="7"/>
        <v>8496</v>
      </c>
      <c r="X45">
        <v>1095</v>
      </c>
      <c r="Y45" t="s">
        <v>37</v>
      </c>
      <c r="Z45" t="s">
        <v>38</v>
      </c>
      <c r="AC45" t="s">
        <v>47</v>
      </c>
    </row>
    <row r="46" spans="1:29" x14ac:dyDescent="0.3">
      <c r="A46" t="s">
        <v>30</v>
      </c>
      <c r="B46" t="s">
        <v>39</v>
      </c>
      <c r="C46" t="s">
        <v>141</v>
      </c>
      <c r="D46" t="s">
        <v>32</v>
      </c>
      <c r="E46" t="s">
        <v>33</v>
      </c>
      <c r="F46" s="2">
        <v>46226</v>
      </c>
      <c r="G46">
        <v>16</v>
      </c>
      <c r="H46" t="s">
        <v>195</v>
      </c>
      <c r="I46" t="s">
        <v>196</v>
      </c>
      <c r="J46" t="s">
        <v>196</v>
      </c>
      <c r="K46" t="s">
        <v>43</v>
      </c>
      <c r="L46" t="s">
        <v>197</v>
      </c>
      <c r="M46">
        <v>60</v>
      </c>
      <c r="N46">
        <v>60</v>
      </c>
      <c r="O46" t="s">
        <v>80</v>
      </c>
      <c r="P46">
        <v>16</v>
      </c>
      <c r="Q46">
        <f t="shared" si="4"/>
        <v>3.75</v>
      </c>
      <c r="R46" s="1">
        <v>78</v>
      </c>
      <c r="S46" s="1">
        <v>78</v>
      </c>
      <c r="T46" t="str">
        <f t="shared" si="5"/>
        <v>相符</v>
      </c>
      <c r="V46">
        <f t="shared" si="6"/>
        <v>1248</v>
      </c>
      <c r="W46">
        <f t="shared" si="7"/>
        <v>4680</v>
      </c>
      <c r="X46">
        <v>1095</v>
      </c>
      <c r="Y46" t="s">
        <v>37</v>
      </c>
      <c r="Z46" t="s">
        <v>38</v>
      </c>
      <c r="AC46" t="s">
        <v>47</v>
      </c>
    </row>
    <row r="47" spans="1:29" x14ac:dyDescent="0.3">
      <c r="A47" t="s">
        <v>30</v>
      </c>
      <c r="B47" t="s">
        <v>39</v>
      </c>
      <c r="C47" t="s">
        <v>141</v>
      </c>
      <c r="D47" t="s">
        <v>32</v>
      </c>
      <c r="E47" t="s">
        <v>33</v>
      </c>
      <c r="F47" s="2">
        <v>46226</v>
      </c>
      <c r="G47">
        <v>17</v>
      </c>
      <c r="H47" t="s">
        <v>198</v>
      </c>
      <c r="I47" t="s">
        <v>199</v>
      </c>
      <c r="J47" t="s">
        <v>199</v>
      </c>
      <c r="K47" t="s">
        <v>43</v>
      </c>
      <c r="L47" t="s">
        <v>200</v>
      </c>
      <c r="M47">
        <v>90</v>
      </c>
      <c r="N47">
        <v>90</v>
      </c>
      <c r="O47" t="s">
        <v>103</v>
      </c>
      <c r="P47">
        <v>1</v>
      </c>
      <c r="Q47">
        <f t="shared" si="4"/>
        <v>90</v>
      </c>
      <c r="R47" s="1">
        <v>883</v>
      </c>
      <c r="S47" s="1">
        <v>883</v>
      </c>
      <c r="T47" t="str">
        <f t="shared" si="5"/>
        <v>相符</v>
      </c>
      <c r="V47">
        <f t="shared" si="6"/>
        <v>883</v>
      </c>
      <c r="W47">
        <f t="shared" si="7"/>
        <v>79470</v>
      </c>
      <c r="X47">
        <v>1095</v>
      </c>
      <c r="Y47" t="s">
        <v>37</v>
      </c>
      <c r="Z47" t="s">
        <v>38</v>
      </c>
      <c r="AC47" t="s">
        <v>47</v>
      </c>
    </row>
    <row r="48" spans="1:29" x14ac:dyDescent="0.3">
      <c r="A48" t="s">
        <v>30</v>
      </c>
      <c r="B48" t="s">
        <v>39</v>
      </c>
      <c r="C48" t="s">
        <v>141</v>
      </c>
      <c r="D48" t="s">
        <v>32</v>
      </c>
      <c r="E48" t="s">
        <v>33</v>
      </c>
      <c r="F48" s="2">
        <v>46226</v>
      </c>
      <c r="G48">
        <v>18</v>
      </c>
      <c r="H48" t="s">
        <v>201</v>
      </c>
      <c r="I48" t="s">
        <v>202</v>
      </c>
      <c r="J48" t="s">
        <v>202</v>
      </c>
      <c r="K48" t="s">
        <v>43</v>
      </c>
      <c r="L48" t="s">
        <v>203</v>
      </c>
      <c r="M48">
        <v>120</v>
      </c>
      <c r="N48">
        <v>120</v>
      </c>
      <c r="O48" t="s">
        <v>103</v>
      </c>
      <c r="P48">
        <v>24</v>
      </c>
      <c r="Q48">
        <f t="shared" si="4"/>
        <v>5</v>
      </c>
      <c r="R48" s="1">
        <v>79</v>
      </c>
      <c r="S48" s="1">
        <v>79</v>
      </c>
      <c r="T48" t="str">
        <f t="shared" si="5"/>
        <v>相符</v>
      </c>
      <c r="V48">
        <f t="shared" si="6"/>
        <v>1896</v>
      </c>
      <c r="W48">
        <f t="shared" si="7"/>
        <v>9480</v>
      </c>
      <c r="X48">
        <v>1095</v>
      </c>
      <c r="Y48" t="s">
        <v>37</v>
      </c>
      <c r="Z48" t="s">
        <v>38</v>
      </c>
      <c r="AC48" t="s">
        <v>47</v>
      </c>
    </row>
    <row r="49" spans="1:29" x14ac:dyDescent="0.3">
      <c r="A49" t="s">
        <v>30</v>
      </c>
      <c r="B49" t="s">
        <v>39</v>
      </c>
      <c r="C49" t="s">
        <v>141</v>
      </c>
      <c r="D49" t="s">
        <v>32</v>
      </c>
      <c r="E49" t="s">
        <v>33</v>
      </c>
      <c r="F49" s="2">
        <v>46226</v>
      </c>
      <c r="G49">
        <v>19</v>
      </c>
      <c r="H49" t="s">
        <v>204</v>
      </c>
      <c r="I49" t="s">
        <v>205</v>
      </c>
      <c r="J49" t="s">
        <v>205</v>
      </c>
      <c r="K49" t="s">
        <v>127</v>
      </c>
      <c r="L49" t="s">
        <v>206</v>
      </c>
      <c r="M49">
        <v>90</v>
      </c>
      <c r="N49">
        <v>90</v>
      </c>
      <c r="O49" t="s">
        <v>80</v>
      </c>
      <c r="P49">
        <v>8</v>
      </c>
      <c r="Q49">
        <f t="shared" si="4"/>
        <v>11.25</v>
      </c>
      <c r="R49" s="1">
        <v>272</v>
      </c>
      <c r="S49" s="1">
        <v>272</v>
      </c>
      <c r="T49" t="str">
        <f t="shared" si="5"/>
        <v>相符</v>
      </c>
      <c r="V49">
        <f t="shared" si="6"/>
        <v>2176</v>
      </c>
      <c r="W49">
        <f t="shared" si="7"/>
        <v>24480</v>
      </c>
      <c r="X49">
        <v>730</v>
      </c>
      <c r="Y49" t="s">
        <v>207</v>
      </c>
      <c r="Z49" t="s">
        <v>38</v>
      </c>
      <c r="AC49" t="s">
        <v>47</v>
      </c>
    </row>
    <row r="50" spans="1:29" x14ac:dyDescent="0.3">
      <c r="A50" t="s">
        <v>30</v>
      </c>
      <c r="B50" t="s">
        <v>39</v>
      </c>
      <c r="C50" t="s">
        <v>141</v>
      </c>
      <c r="D50" t="s">
        <v>32</v>
      </c>
      <c r="E50" t="s">
        <v>33</v>
      </c>
      <c r="F50" s="2">
        <v>46226</v>
      </c>
      <c r="G50">
        <v>20</v>
      </c>
      <c r="H50" t="s">
        <v>208</v>
      </c>
      <c r="I50" t="s">
        <v>209</v>
      </c>
      <c r="J50" t="s">
        <v>209</v>
      </c>
      <c r="K50" t="s">
        <v>127</v>
      </c>
      <c r="L50" t="s">
        <v>210</v>
      </c>
      <c r="M50">
        <v>90</v>
      </c>
      <c r="N50">
        <v>90</v>
      </c>
      <c r="O50" t="s">
        <v>80</v>
      </c>
      <c r="P50">
        <v>8</v>
      </c>
      <c r="Q50">
        <f t="shared" si="4"/>
        <v>11.25</v>
      </c>
      <c r="R50" s="1">
        <v>272</v>
      </c>
      <c r="S50" s="1">
        <v>272</v>
      </c>
      <c r="T50" t="str">
        <f t="shared" si="5"/>
        <v>相符</v>
      </c>
      <c r="V50">
        <f t="shared" si="6"/>
        <v>2176</v>
      </c>
      <c r="W50">
        <f t="shared" si="7"/>
        <v>24480</v>
      </c>
      <c r="X50">
        <v>730</v>
      </c>
      <c r="Y50" t="s">
        <v>207</v>
      </c>
      <c r="Z50" t="s">
        <v>38</v>
      </c>
      <c r="AC50" t="s">
        <v>47</v>
      </c>
    </row>
    <row r="51" spans="1:29" x14ac:dyDescent="0.3">
      <c r="A51" t="s">
        <v>30</v>
      </c>
      <c r="B51" t="s">
        <v>39</v>
      </c>
      <c r="C51" t="s">
        <v>211</v>
      </c>
      <c r="D51" t="s">
        <v>32</v>
      </c>
      <c r="E51" t="s">
        <v>33</v>
      </c>
      <c r="F51" s="2">
        <v>46224</v>
      </c>
      <c r="G51">
        <v>1</v>
      </c>
      <c r="H51" t="s">
        <v>212</v>
      </c>
      <c r="I51" t="s">
        <v>213</v>
      </c>
      <c r="J51" t="s">
        <v>214</v>
      </c>
      <c r="K51" t="s">
        <v>215</v>
      </c>
      <c r="L51" t="s">
        <v>216</v>
      </c>
      <c r="M51">
        <v>528</v>
      </c>
      <c r="N51">
        <v>528</v>
      </c>
      <c r="O51" t="s">
        <v>76</v>
      </c>
      <c r="P51">
        <v>1</v>
      </c>
      <c r="Q51">
        <f t="shared" si="4"/>
        <v>528</v>
      </c>
      <c r="R51" s="1">
        <v>806</v>
      </c>
      <c r="S51" s="1">
        <v>806</v>
      </c>
      <c r="T51" t="str">
        <f t="shared" si="5"/>
        <v>相符</v>
      </c>
      <c r="V51">
        <f t="shared" si="6"/>
        <v>806</v>
      </c>
      <c r="W51">
        <f t="shared" si="7"/>
        <v>425568</v>
      </c>
      <c r="X51">
        <v>1095</v>
      </c>
      <c r="Y51" t="s">
        <v>217</v>
      </c>
      <c r="Z51" t="s">
        <v>38</v>
      </c>
      <c r="AC51" t="s">
        <v>47</v>
      </c>
    </row>
    <row r="52" spans="1:29" x14ac:dyDescent="0.3">
      <c r="A52" t="s">
        <v>30</v>
      </c>
      <c r="B52" t="s">
        <v>39</v>
      </c>
      <c r="C52" t="s">
        <v>211</v>
      </c>
      <c r="D52" t="s">
        <v>32</v>
      </c>
      <c r="E52" t="s">
        <v>33</v>
      </c>
      <c r="F52" s="2">
        <v>46224</v>
      </c>
      <c r="G52">
        <v>2</v>
      </c>
      <c r="H52" t="s">
        <v>218</v>
      </c>
      <c r="I52" t="s">
        <v>219</v>
      </c>
      <c r="J52" t="s">
        <v>219</v>
      </c>
      <c r="K52" t="s">
        <v>74</v>
      </c>
      <c r="L52" t="s">
        <v>220</v>
      </c>
      <c r="M52">
        <v>641</v>
      </c>
      <c r="N52">
        <v>641</v>
      </c>
      <c r="O52" t="s">
        <v>80</v>
      </c>
      <c r="P52">
        <v>6</v>
      </c>
      <c r="Q52">
        <f t="shared" si="4"/>
        <v>106.83333333333333</v>
      </c>
      <c r="R52" s="1">
        <v>193</v>
      </c>
      <c r="S52" s="1">
        <v>193</v>
      </c>
      <c r="T52" t="str">
        <f t="shared" si="5"/>
        <v>相符</v>
      </c>
      <c r="V52">
        <f t="shared" si="6"/>
        <v>1158</v>
      </c>
      <c r="W52">
        <f t="shared" si="7"/>
        <v>123713</v>
      </c>
      <c r="X52">
        <v>730</v>
      </c>
      <c r="Y52" t="s">
        <v>221</v>
      </c>
      <c r="Z52" t="s">
        <v>38</v>
      </c>
      <c r="AC52" t="s">
        <v>47</v>
      </c>
    </row>
    <row r="53" spans="1:29" x14ac:dyDescent="0.3">
      <c r="A53" t="s">
        <v>30</v>
      </c>
      <c r="B53" t="s">
        <v>39</v>
      </c>
      <c r="C53" t="s">
        <v>222</v>
      </c>
      <c r="D53" t="s">
        <v>32</v>
      </c>
      <c r="E53" t="s">
        <v>33</v>
      </c>
      <c r="F53" s="2">
        <v>46227</v>
      </c>
      <c r="G53">
        <v>1</v>
      </c>
      <c r="H53" t="s">
        <v>223</v>
      </c>
      <c r="I53" t="s">
        <v>224</v>
      </c>
      <c r="J53" t="s">
        <v>224</v>
      </c>
      <c r="K53" t="s">
        <v>67</v>
      </c>
      <c r="L53" t="s">
        <v>225</v>
      </c>
      <c r="M53">
        <v>72</v>
      </c>
      <c r="N53">
        <v>72</v>
      </c>
      <c r="O53" t="s">
        <v>69</v>
      </c>
      <c r="P53">
        <v>4</v>
      </c>
      <c r="Q53">
        <f t="shared" si="4"/>
        <v>18</v>
      </c>
      <c r="R53" s="1">
        <v>289</v>
      </c>
      <c r="S53" s="1">
        <v>289</v>
      </c>
      <c r="T53" t="str">
        <f t="shared" si="5"/>
        <v>相符</v>
      </c>
      <c r="V53">
        <f t="shared" si="6"/>
        <v>1156</v>
      </c>
      <c r="W53">
        <f t="shared" si="7"/>
        <v>20808</v>
      </c>
      <c r="X53">
        <v>1825</v>
      </c>
      <c r="Y53" t="s">
        <v>226</v>
      </c>
      <c r="Z53" t="s">
        <v>38</v>
      </c>
      <c r="AC53" t="s">
        <v>47</v>
      </c>
    </row>
    <row r="54" spans="1:29" x14ac:dyDescent="0.3">
      <c r="A54" t="s">
        <v>30</v>
      </c>
      <c r="B54" t="s">
        <v>39</v>
      </c>
      <c r="C54" t="s">
        <v>227</v>
      </c>
      <c r="D54" t="s">
        <v>32</v>
      </c>
      <c r="E54" t="s">
        <v>33</v>
      </c>
      <c r="F54" s="2">
        <v>46226</v>
      </c>
      <c r="G54">
        <v>1</v>
      </c>
      <c r="H54" t="s">
        <v>228</v>
      </c>
      <c r="I54" t="s">
        <v>229</v>
      </c>
      <c r="L54" t="s">
        <v>230</v>
      </c>
      <c r="M54">
        <v>200</v>
      </c>
      <c r="N54">
        <v>200</v>
      </c>
      <c r="P54">
        <v>0</v>
      </c>
      <c r="Q54" t="e">
        <f t="shared" si="4"/>
        <v>#DIV/0!</v>
      </c>
      <c r="R54" s="1">
        <v>202</v>
      </c>
      <c r="S54" s="1">
        <v>0</v>
      </c>
      <c r="T54" t="str">
        <f t="shared" si="5"/>
        <v>不相符</v>
      </c>
      <c r="V54">
        <f t="shared" si="6"/>
        <v>0</v>
      </c>
      <c r="W54" t="e">
        <f t="shared" si="7"/>
        <v>#DIV/0!</v>
      </c>
      <c r="X54">
        <v>0</v>
      </c>
      <c r="Y54" t="s">
        <v>207</v>
      </c>
      <c r="Z54" t="s">
        <v>38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整合表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Nicole.Chou(周亭瑜)</cp:lastModifiedBy>
  <dcterms:created xsi:type="dcterms:W3CDTF">2026-07-17T14:08:02Z</dcterms:created>
  <dcterms:modified xsi:type="dcterms:W3CDTF">2026-09-10T05:35:47Z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