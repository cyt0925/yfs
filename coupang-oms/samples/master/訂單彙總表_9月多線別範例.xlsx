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整合表" sheetId="1" r:id="rId3"/>
  </sheets>
</workbook>
</file>

<file path=xl/sharedStrings.xml><?xml version="1.0" encoding="utf-8"?>
<sst xmlns="http://schemas.openxmlformats.org/spreadsheetml/2006/main" count="12810" uniqueCount="1908">
  <si>
    <t xml:space="preserve">訂單類型</t>
  </si>
  <si>
    <t xml:space="preserve">線別</t>
  </si>
  <si>
    <t xml:space="preserve">PO單號</t>
  </si>
  <si>
    <t xml:space="preserve">到貨倉別</t>
  </si>
  <si>
    <t xml:space="preserve">地址</t>
  </si>
  <si>
    <t xml:space="preserve">交付日期</t>
  </si>
  <si>
    <t xml:space="preserve">NO</t>
  </si>
  <si>
    <t xml:space="preserve">SKU ID</t>
  </si>
  <si>
    <t xml:space="preserve">條碼(國條)</t>
  </si>
  <si>
    <t xml:space="preserve">永豐料號</t>
  </si>
  <si>
    <t xml:space="preserve">品牌</t>
  </si>
  <si>
    <t xml:space="preserve">品名</t>
  </si>
  <si>
    <t xml:space="preserve">下單數量(酷澎單位)</t>
  </si>
  <si>
    <t xml:space="preserve">出貨數量</t>
  </si>
  <si>
    <t xml:space="preserve">單位</t>
  </si>
  <si>
    <t xml:space="preserve">箱入數</t>
  </si>
  <si>
    <t xml:space="preserve">箱數</t>
  </si>
  <si>
    <t xml:space="preserve">酷澎下單單價(含稅)</t>
  </si>
  <si>
    <t xml:space="preserve">業務報價單價(含稅)</t>
  </si>
  <si>
    <t xml:space="preserve">核對單價</t>
  </si>
  <si>
    <t xml:space="preserve">報價備註</t>
  </si>
  <si>
    <t xml:space="preserve">箱單價(含稅)</t>
  </si>
  <si>
    <t xml:space="preserve">總計(含稅)</t>
  </si>
  <si>
    <t xml:space="preserve">總效期天數(day)</t>
  </si>
  <si>
    <t xml:space="preserve">允收效期</t>
  </si>
  <si>
    <t xml:space="preserve">備註</t>
  </si>
  <si>
    <t xml:space="preserve">有效期限</t>
  </si>
  <si>
    <t xml:space="preserve">製造日期</t>
  </si>
  <si>
    <t xml:space="preserve">日期格式</t>
  </si>
  <si>
    <t xml:space="preserve">瑪氏效期表Id</t>
  </si>
  <si>
    <t xml:space="preserve">一般</t>
  </si>
  <si>
    <t xml:space="preserve">瑪氏</t>
  </si>
  <si>
    <t xml:space="preserve">13000000524549</t>
  </si>
  <si>
    <t xml:space="preserve">TAO1</t>
  </si>
  <si>
    <t xml:space="preserve">桃園市大園區建國路102號4樓 B棟(倉儲棟)</t>
  </si>
  <si>
    <t xml:space="preserve">153740669566978</t>
  </si>
  <si>
    <t xml:space="preserve">4714686007654</t>
  </si>
  <si>
    <t xml:space="preserve">M10279580</t>
  </si>
  <si>
    <t xml:space="preserve">Cesar 西莎</t>
  </si>
  <si>
    <t xml:space="preserve">[箱裝] Cesar 西莎 精緻餐盒, 牛肉口味, 100g, 24罐</t>
  </si>
  <si>
    <t xml:space="preserve">盒</t>
  </si>
  <si>
    <t xml:space="preserve">(M)-
(E)2027-09-15</t>
  </si>
  <si>
    <t xml:space="preserve">Tip_system</t>
  </si>
  <si>
    <t xml:space="preserve">DD/MM/YY</t>
  </si>
  <si>
    <t xml:space="preserve">153741084835842</t>
  </si>
  <si>
    <t xml:space="preserve">4902397839200</t>
  </si>
  <si>
    <t xml:space="preserve">M60002183</t>
  </si>
  <si>
    <t xml:space="preserve">[組出] Cesar 西莎 成犬 蒸鮮包, 牛肉 + 蔬菜口味, 70g, 16包</t>
  </si>
  <si>
    <t xml:space="preserve">M10243539</t>
  </si>
  <si>
    <t xml:space="preserve">YY/MM/DD</t>
  </si>
  <si>
    <t xml:space="preserve">153741449723908</t>
  </si>
  <si>
    <t xml:space="preserve">4714686007715</t>
  </si>
  <si>
    <t xml:space="preserve">M10279554</t>
  </si>
  <si>
    <t xml:space="preserve">[箱裝] Cesar 西莎 風味餐盒, 鄉村嫩燒小羊肉口味, 100g, 24罐</t>
  </si>
  <si>
    <t xml:space="preserve">153743458779139</t>
  </si>
  <si>
    <t xml:space="preserve">8853301140812</t>
  </si>
  <si>
    <t xml:space="preserve">M10273717</t>
  </si>
  <si>
    <t xml:space="preserve">whiskas 偉嘉</t>
  </si>
  <si>
    <t xml:space="preserve">whiskas 偉嘉 幼貓/懷孕母貓專用 乾飼料, 海洋魚類口味, 2~12個月, 1.1kg, 1袋</t>
  </si>
  <si>
    <t xml:space="preserve">(M)2025-12-18
(E)2027-06-15</t>
  </si>
  <si>
    <t xml:space="preserve">154005636333568</t>
  </si>
  <si>
    <t xml:space="preserve">4710716339115</t>
  </si>
  <si>
    <t xml:space="preserve">M10266394</t>
  </si>
  <si>
    <t xml:space="preserve">eclipse 易口舒</t>
  </si>
  <si>
    <t xml:space="preserve">[組出] eclipse 易口舒 無糖薄荷錠, 沁涼薄荷口味, 31g, 8入, 1盒</t>
  </si>
  <si>
    <t xml:space="preserve">(M)-
(E)2027-06-15</t>
  </si>
  <si>
    <t xml:space="preserve">265319587217410</t>
  </si>
  <si>
    <t xml:space="preserve">18853301001516</t>
  </si>
  <si>
    <t xml:space="preserve">M60003644</t>
  </si>
  <si>
    <t xml:space="preserve">Temptations 喵愛餡</t>
  </si>
  <si>
    <t xml:space="preserve">[箱裝]Temptations 喵愛餡 貓點心, 化毛配方口味, 60g, 12包, 1箱</t>
  </si>
  <si>
    <t xml:space="preserve">M10288373</t>
  </si>
  <si>
    <t xml:space="preserve">312120226840576</t>
  </si>
  <si>
    <t xml:space="preserve">4718201213780</t>
  </si>
  <si>
    <t xml:space="preserve">M60020655</t>
  </si>
  <si>
    <t xml:space="preserve">Airwaves</t>
  </si>
  <si>
    <t xml:space="preserve">[組出] Airwaves 超涼無糖口香糖 紫冰野莓口味, 28g, 5包</t>
  </si>
  <si>
    <t xml:space="preserve">M10254059</t>
  </si>
  <si>
    <t xml:space="preserve">(M)-
(E)2027-04-22</t>
  </si>
  <si>
    <t xml:space="preserve">334113106001920</t>
  </si>
  <si>
    <t xml:space="preserve">19334214024995</t>
  </si>
  <si>
    <t xml:space="preserve">M10403052</t>
  </si>
  <si>
    <t xml:space="preserve">Sheba 希寶</t>
  </si>
  <si>
    <t xml:space="preserve">[箱裝]Sheba 希寶 鮮饌包 貓主食餐包 鮪魚 + 蟹肉, 70g, 24包, 1箱</t>
  </si>
  <si>
    <t xml:space="preserve">箱</t>
  </si>
  <si>
    <t xml:space="preserve">M10208266-1</t>
  </si>
  <si>
    <t xml:space="preserve">(M)2025-09-16
(E)2027-09-16</t>
  </si>
  <si>
    <t xml:space="preserve">334113106001921</t>
  </si>
  <si>
    <t xml:space="preserve">19334214024971</t>
  </si>
  <si>
    <t xml:space="preserve">M10403050</t>
  </si>
  <si>
    <t xml:space="preserve">[箱裝]Sheba 希寶 鮮饌包 貓主食餐包 鮪魚, 70g, 24包, 1箱</t>
  </si>
  <si>
    <t xml:space="preserve">M10208263-1</t>
  </si>
  <si>
    <t xml:space="preserve">334113110212611</t>
  </si>
  <si>
    <t xml:space="preserve">19334214025022</t>
  </si>
  <si>
    <t xml:space="preserve">M10406573</t>
  </si>
  <si>
    <t xml:space="preserve">[箱裝]Sheba 希寶 鮮饌包 貓主食餐包 鮪魚 + 鯖魚, 70g, 24包, 1箱</t>
  </si>
  <si>
    <t xml:space="preserve">(M)-
(E)2027-09-16</t>
  </si>
  <si>
    <t xml:space="preserve">334483198771200</t>
  </si>
  <si>
    <t xml:space="preserve">19334214036394</t>
  </si>
  <si>
    <t xml:space="preserve">M60018003</t>
  </si>
  <si>
    <t xml:space="preserve">[箱裝]Sheba 希寶 金罐 鮪魚 + 白身魚湯汁, 85g, 24罐, 1箱</t>
  </si>
  <si>
    <t xml:space="preserve">M10201248-1</t>
  </si>
  <si>
    <t xml:space="preserve">(M)-
(E)2027-09-10</t>
  </si>
  <si>
    <t xml:space="preserve">401926092980224</t>
  </si>
  <si>
    <t xml:space="preserve">18853301001455</t>
  </si>
  <si>
    <t xml:space="preserve">M60003615</t>
  </si>
  <si>
    <t xml:space="preserve">[箱裝]Temptations 喵愛餡 貓點心, 火烤嫩雞口味, 75g, 12包, 1箱</t>
  </si>
  <si>
    <t xml:space="preserve">M10288307</t>
  </si>
  <si>
    <t xml:space="preserve">488123276378112</t>
  </si>
  <si>
    <t xml:space="preserve">18853301550014</t>
  </si>
  <si>
    <t xml:space="preserve">M10274007</t>
  </si>
  <si>
    <t xml:space="preserve">[箱裝]Whiskas 偉嘉 妙鮮包 鮪魚, 80g, 24包, 1箱</t>
  </si>
  <si>
    <t xml:space="preserve">522244895791654</t>
  </si>
  <si>
    <t xml:space="preserve">16914973706368</t>
  </si>
  <si>
    <t xml:space="preserve">M10403201</t>
  </si>
  <si>
    <t xml:space="preserve">[箱裝]Sheba 希寶 主食貓罐頭 雞肉慕斯佐牛肝, 70g, 24罐, 1箱</t>
  </si>
  <si>
    <t xml:space="preserve">(M)2025-09-16
(E)2027-09-15</t>
  </si>
  <si>
    <t xml:space="preserve">13000000521495</t>
  </si>
  <si>
    <t xml:space="preserve">312119299915776</t>
  </si>
  <si>
    <t xml:space="preserve">4718201215715</t>
  </si>
  <si>
    <t xml:space="preserve">M10280226</t>
  </si>
  <si>
    <t xml:space="preserve">Extra 益齒達</t>
  </si>
  <si>
    <t xml:space="preserve">[組出] Extra 益齒達 潔淨無糖口香糖 薄荷口味, 28g, 5包</t>
  </si>
  <si>
    <t xml:space="preserve">MPO_20260907_finance andrei approve</t>
  </si>
  <si>
    <t xml:space="preserve">13000000517558</t>
  </si>
  <si>
    <t xml:space="preserve">122903899095048</t>
  </si>
  <si>
    <t xml:space="preserve">9310022866104</t>
  </si>
  <si>
    <t xml:space="preserve">M10273695</t>
  </si>
  <si>
    <t xml:space="preserve">whiskas 偉嘉 貓乾糧, 海洋魚類, 1歲以上成貓, 1.2kg, 1袋</t>
  </si>
  <si>
    <t xml:space="preserve">153740686344192</t>
  </si>
  <si>
    <t xml:space="preserve">4902397812609</t>
  </si>
  <si>
    <t xml:space="preserve">M60002174</t>
  </si>
  <si>
    <t xml:space="preserve">[組出] Cesar 西莎 成犬 蒸鮮包, 低脂雞肉 + 蔬菜, 70g, 16包</t>
  </si>
  <si>
    <t xml:space="preserve">M10243524</t>
  </si>
  <si>
    <t xml:space="preserve">153740690538507</t>
  </si>
  <si>
    <t xml:space="preserve">4902397839293</t>
  </si>
  <si>
    <t xml:space="preserve">M60002180</t>
  </si>
  <si>
    <t xml:space="preserve">[組出] Cesar 西莎 14歲以上成犬 蒸鮮包, 特細切雞肉及蔬菜, 70g, 16包</t>
  </si>
  <si>
    <t xml:space="preserve">M10243522</t>
  </si>
  <si>
    <t xml:space="preserve">153743458779136</t>
  </si>
  <si>
    <t xml:space="preserve">9334214022833</t>
  </si>
  <si>
    <t xml:space="preserve">M10273708</t>
  </si>
  <si>
    <t xml:space="preserve">whiskas 偉嘉 貓乾糧, 烤鮭魚口味, 1歲以上成貓, 1.2kg, 1袋</t>
  </si>
  <si>
    <t xml:space="preserve">153743853076480</t>
  </si>
  <si>
    <t xml:space="preserve">8853301144308</t>
  </si>
  <si>
    <t xml:space="preserve">M10273702</t>
  </si>
  <si>
    <t xml:space="preserve">whiskas 偉嘉 貓乾糧, 海鯛鮮蝦, 1歲以上成貓, 1.2kg, 1袋</t>
  </si>
  <si>
    <t xml:space="preserve">(M)-
(E)2027-06-12</t>
  </si>
  <si>
    <t xml:space="preserve">154081230307329</t>
  </si>
  <si>
    <t xml:space="preserve">4718201214855</t>
  </si>
  <si>
    <t xml:space="preserve">M60023882</t>
  </si>
  <si>
    <t xml:space="preserve">[組出] Airwaves 超涼無糖口香糖 超值包 紫冰野莓口味, 62g, 10包, 1盒</t>
  </si>
  <si>
    <t xml:space="preserve">M10254073</t>
  </si>
  <si>
    <t xml:space="preserve">154081616166914</t>
  </si>
  <si>
    <t xml:space="preserve">4710716334134</t>
  </si>
  <si>
    <t xml:space="preserve">M60019810</t>
  </si>
  <si>
    <t xml:space="preserve">[組出] Airwaves 超涼無糖口香糖 超值包 超涼薄荷口味, 62g, 10包, 1盒</t>
  </si>
  <si>
    <t xml:space="preserve">M10254053</t>
  </si>
  <si>
    <t xml:space="preserve">277655899308032</t>
  </si>
  <si>
    <t xml:space="preserve">0022000190123</t>
  </si>
  <si>
    <t xml:space="preserve">M10281733</t>
  </si>
  <si>
    <t xml:space="preserve">DOUBLEMINT 青箭</t>
  </si>
  <si>
    <t xml:space="preserve">[組出] DOUBLEMINT 青箭 口香糖 分享包 17片, 12條</t>
  </si>
  <si>
    <t xml:space="preserve">401926088785920</t>
  </si>
  <si>
    <t xml:space="preserve">18853301001493</t>
  </si>
  <si>
    <t xml:space="preserve">M60003640</t>
  </si>
  <si>
    <t xml:space="preserve">[箱裝]Temptations 喵愛餡 貓點心, 香濃牛奶口味, 75g, 12包, 1箱</t>
  </si>
  <si>
    <t xml:space="preserve">M10288370</t>
  </si>
  <si>
    <t xml:space="preserve">(M)2025-12-16
(E)2027-06-16</t>
  </si>
  <si>
    <t xml:space="preserve">425185559691264</t>
  </si>
  <si>
    <t xml:space="preserve">18853301001479</t>
  </si>
  <si>
    <t xml:space="preserve">M60003649</t>
  </si>
  <si>
    <t xml:space="preserve">[箱裝]Temptations 喵愛餡 貓點心, 火烤嫩雞口味, 160g, 10包</t>
  </si>
  <si>
    <t xml:space="preserve">M10290730</t>
  </si>
  <si>
    <t xml:space="preserve">461367559536643</t>
  </si>
  <si>
    <t xml:space="preserve">8853301001465</t>
  </si>
  <si>
    <t xml:space="preserve">Temptations 喵愛餡 貓點心, 火烤嫩雞口味 160g, 1包</t>
  </si>
  <si>
    <t xml:space="preserve">包</t>
  </si>
  <si>
    <t xml:space="preserve">522244895854650</t>
  </si>
  <si>
    <t xml:space="preserve">4714686201656</t>
  </si>
  <si>
    <t xml:space="preserve">M60019831</t>
  </si>
  <si>
    <t xml:space="preserve">[組出] Airwaves 超涼無糖口香糖 超值包 微冰藍莓口味, 62g, 10包, 1盒</t>
  </si>
  <si>
    <t xml:space="preserve">M10403821</t>
  </si>
  <si>
    <t xml:space="preserve">(M)2026-04-23
(E)2027-04-22</t>
  </si>
  <si>
    <t xml:space="preserve">522244896300377</t>
  </si>
  <si>
    <t xml:space="preserve">8853301001601</t>
  </si>
  <si>
    <t xml:space="preserve">M60024930</t>
  </si>
  <si>
    <t xml:space="preserve">Temptations 喵愛餡 貓點心, 160g, 香誘鮮鮪口味, 1個</t>
  </si>
  <si>
    <t xml:space="preserve">13000000517087</t>
  </si>
  <si>
    <t xml:space="preserve">寶僑</t>
  </si>
  <si>
    <t xml:space="preserve">13000000532986</t>
  </si>
  <si>
    <t xml:space="preserve">TAO5</t>
  </si>
  <si>
    <t xml:space="preserve">桃園市觀音區寶倉街108號5樓</t>
  </si>
  <si>
    <t xml:space="preserve">518994704384003</t>
  </si>
  <si>
    <t xml:space="preserve">6903148357026</t>
  </si>
  <si>
    <t xml:space="preserve">whisper 好自在</t>
  </si>
  <si>
    <t xml:space="preserve">[DS]whisper 好自在 台灣公司貨 Air Dry Fresh 草本健康衛生棉 量大加長, 32cm, 8片, 1包</t>
  </si>
  <si>
    <t xml:space="preserve">袋</t>
  </si>
  <si>
    <t xml:space="preserve">(M)2025-03-20
(E)2028-03-18</t>
  </si>
  <si>
    <t xml:space="preserve">Split_原訂單 13000000531968</t>
  </si>
  <si>
    <t xml:space="preserve">13000000527634</t>
  </si>
  <si>
    <t xml:space="preserve">Split_原訂單13000000527597 13000000523346</t>
  </si>
  <si>
    <t xml:space="preserve">13000000523346</t>
  </si>
  <si>
    <t xml:space="preserve">MPO_260907_MPO Application_Baby &amp; HPC</t>
  </si>
  <si>
    <t xml:space="preserve">13000000538676</t>
  </si>
  <si>
    <t xml:space="preserve">TAO6</t>
  </si>
  <si>
    <t xml:space="preserve">桃園市大園區航翔路115號5樓</t>
  </si>
  <si>
    <t xml:space="preserve">151933503389696</t>
  </si>
  <si>
    <t xml:space="preserve">8853301300049</t>
  </si>
  <si>
    <t xml:space="preserve">M10274438</t>
  </si>
  <si>
    <t xml:space="preserve">Pedigree 寶路</t>
  </si>
  <si>
    <t xml:space="preserve">Pedigree 寶路 成犬專用 狗乾糧, 牛肉 + 蔬菜口味, 10kg, 1袋</t>
  </si>
  <si>
    <t xml:space="preserve">(M)-
(E)2027-06-28</t>
  </si>
  <si>
    <t xml:space="preserve">Tip_system_shufflefail_snop_request</t>
  </si>
  <si>
    <t xml:space="preserve">153706490183682</t>
  </si>
  <si>
    <t xml:space="preserve">14714686003523</t>
  </si>
  <si>
    <t xml:space="preserve">M10281169</t>
  </si>
  <si>
    <t xml:space="preserve">[箱裝]whiskas 偉嘉 貓食濕糧 罐頭, 海陸饗宴餐, 185g, 24罐, 1箱</t>
  </si>
  <si>
    <t xml:space="preserve">(M)-
(E)2027-09-28</t>
  </si>
  <si>
    <t xml:space="preserve">153706884481024</t>
  </si>
  <si>
    <t xml:space="preserve">14714686003530</t>
  </si>
  <si>
    <t xml:space="preserve">M10281171</t>
  </si>
  <si>
    <t xml:space="preserve">[箱裝]whiskas 偉嘉 貓食濕糧 罐頭, 海洋鮮魚餐, 185g, 24罐, 1箱</t>
  </si>
  <si>
    <t xml:space="preserve">154361103613956</t>
  </si>
  <si>
    <t xml:space="preserve">19310022725705</t>
  </si>
  <si>
    <t xml:space="preserve">M10205199</t>
  </si>
  <si>
    <t xml:space="preserve">[箱裝]Pedigree 寶路 成犬罐頭, 雞肉, 400g, 24罐, 1箱</t>
  </si>
  <si>
    <t xml:space="preserve">M10205199-1</t>
  </si>
  <si>
    <t xml:space="preserve">174042174668800</t>
  </si>
  <si>
    <t xml:space="preserve">19310022726009</t>
  </si>
  <si>
    <t xml:space="preserve">M10281617</t>
  </si>
  <si>
    <t xml:space="preserve">[箱裝]Pedigree 寶路 成犬罐頭, 原汁牛肉塊, 400g, 24罐, 1箱</t>
  </si>
  <si>
    <t xml:space="preserve">M10205201-1</t>
  </si>
  <si>
    <t xml:space="preserve">CPG-潔品</t>
  </si>
  <si>
    <t xml:space="preserve">13000000452582</t>
  </si>
  <si>
    <t xml:space="preserve">423354049691648</t>
  </si>
  <si>
    <t xml:space="preserve">4710908002872</t>
  </si>
  <si>
    <t xml:space="preserve">1021317</t>
  </si>
  <si>
    <t xml:space="preserve">10-橘子工坊</t>
  </si>
  <si>
    <t xml:space="preserve">ORANGE HOUSE 橘子工坊 天然濃縮制菌去味洗衣精, 1.8L, 1瓶</t>
  </si>
  <si>
    <t xml:space="preserve">瓶</t>
  </si>
  <si>
    <t xml:space="preserve">(M)2025-03-14
(E)2028-03-12</t>
  </si>
  <si>
    <t xml:space="preserve">MPO_260813_MPO Application_Baby &amp; HPC</t>
  </si>
  <si>
    <t xml:space="preserve">YYYY/MM/DD</t>
  </si>
  <si>
    <t xml:space="preserve">463122934497280</t>
  </si>
  <si>
    <t xml:space="preserve">4710908004081</t>
  </si>
  <si>
    <t xml:space="preserve">1021346</t>
  </si>
  <si>
    <t xml:space="preserve">橘子工坊 天然制菌去味洗衣膠囊, 20g , 22顆, 1盒</t>
  </si>
  <si>
    <t xml:space="preserve">(M)-
(E)2027-06-11</t>
  </si>
  <si>
    <t xml:space="preserve">485672154529792</t>
  </si>
  <si>
    <t xml:space="preserve">4712318595548</t>
  </si>
  <si>
    <t xml:space="preserve">1021343</t>
  </si>
  <si>
    <t xml:space="preserve">Orange House 橘子工坊 天然濃縮制菌雙酵洗衣精 補充包, 1.5L, 1包</t>
  </si>
  <si>
    <t xml:space="preserve">(M)-
(E)2028-03-12</t>
  </si>
  <si>
    <t xml:space="preserve">CPG-紙品</t>
  </si>
  <si>
    <t xml:space="preserve">522244896231843</t>
  </si>
  <si>
    <t xml:space="preserve">4710104030006</t>
  </si>
  <si>
    <t xml:space="preserve">0304036</t>
  </si>
  <si>
    <t xml:space="preserve">03-得意</t>
  </si>
  <si>
    <t xml:space="preserve">得意 掛式抽取全能廚房紙巾, 300張, 1個</t>
  </si>
  <si>
    <t xml:space="preserve">(M)2024-03-14
(E)2029-03-12</t>
  </si>
  <si>
    <t xml:space="preserve">13000000429088</t>
  </si>
  <si>
    <t xml:space="preserve">TXRC8</t>
  </si>
  <si>
    <t xml:space="preserve">桃園市楊梅區環東路200號C區4樓</t>
  </si>
  <si>
    <t xml:space="preserve">150852803182593</t>
  </si>
  <si>
    <t xml:space="preserve">4710908110362</t>
  </si>
  <si>
    <t xml:space="preserve">0302145</t>
  </si>
  <si>
    <t xml:space="preserve">得意 連續抽取式花紋衛生紙, 100抽, 12包, 1袋</t>
  </si>
  <si>
    <t xml:space="preserve">9月袋以新料號出</t>
  </si>
  <si>
    <t xml:space="preserve">(M)-
(E)2029-03-12</t>
  </si>
  <si>
    <t xml:space="preserve">Split_原訂單13000000425453</t>
  </si>
  <si>
    <t xml:space="preserve">13000000536774</t>
  </si>
  <si>
    <t xml:space="preserve">123251695009802</t>
  </si>
  <si>
    <t xml:space="preserve">4710104009828</t>
  </si>
  <si>
    <t xml:space="preserve">0304042</t>
  </si>
  <si>
    <t xml:space="preserve">得意 金得意系列 巧撕廚房紙巾, 112張, 6捲, 1袋</t>
  </si>
  <si>
    <t xml:space="preserve">包裝升級(舊料號0304023順轉)</t>
  </si>
  <si>
    <t xml:space="preserve">(M)-
(E)2029-03-26</t>
  </si>
  <si>
    <t xml:space="preserve">255235360538625</t>
  </si>
  <si>
    <t xml:space="preserve">4712318594145</t>
  </si>
  <si>
    <t xml:space="preserve">1022248</t>
  </si>
  <si>
    <t xml:space="preserve">橘子工坊 去油淨味碗盤洗滌液補充包500ml</t>
  </si>
  <si>
    <t xml:space="preserve">(M)-
(E)2028-03-26</t>
  </si>
  <si>
    <t xml:space="preserve">13000000536201</t>
  </si>
  <si>
    <t xml:space="preserve">123251799867424</t>
  </si>
  <si>
    <t xml:space="preserve">4712318590215</t>
  </si>
  <si>
    <t xml:space="preserve">1022257</t>
  </si>
  <si>
    <t xml:space="preserve">Orange House 橘子工坊 浴廁清潔劑 兩用噴頭, 480ml, 1瓶</t>
  </si>
  <si>
    <t xml:space="preserve">(M)-
(E)2028-03-23</t>
  </si>
  <si>
    <t xml:space="preserve">123251804061696</t>
  </si>
  <si>
    <t xml:space="preserve">4712318590222</t>
  </si>
  <si>
    <t xml:space="preserve">1022256</t>
  </si>
  <si>
    <t xml:space="preserve">ORANGE HOUSE 橘子工坊 天然廚房爐具專用清潔劑 兩用噴槍頭, 480ml, 1瓶</t>
  </si>
  <si>
    <t xml:space="preserve">(M)2024-03-25
(E)2029-03-23</t>
  </si>
  <si>
    <t xml:space="preserve">13000000535602</t>
  </si>
  <si>
    <t xml:space="preserve">122902414311436</t>
  </si>
  <si>
    <t xml:space="preserve">8853301141277</t>
  </si>
  <si>
    <t xml:space="preserve">M10273713</t>
  </si>
  <si>
    <t xml:space="preserve">whiskas 偉嘉 乾飼料, 化毛配方, 雞肉 + 鮪魚(吞拿魚)口味, 1歲以上成貓, 1.1kg, 1袋</t>
  </si>
  <si>
    <t xml:space="preserve">(M)-
(E)2027-06-19</t>
  </si>
  <si>
    <t xml:space="preserve">122902640836608</t>
  </si>
  <si>
    <t xml:space="preserve">4902397846451</t>
  </si>
  <si>
    <t xml:space="preserve">M10403852</t>
  </si>
  <si>
    <t xml:space="preserve">Cesar 西莎 點心系列 狗零食, 主廚嚴選香軟牛肉切塊口味, 100g, 1包</t>
  </si>
  <si>
    <t xml:space="preserve">(M)-
(E)2027-05-08</t>
  </si>
  <si>
    <t xml:space="preserve">(M)-
(E)2027-06-22</t>
  </si>
  <si>
    <t xml:space="preserve">122904213684244</t>
  </si>
  <si>
    <t xml:space="preserve">9310022866203</t>
  </si>
  <si>
    <t xml:space="preserve">M10273698</t>
  </si>
  <si>
    <t xml:space="preserve">whiskas 偉嘉 貓乾糧, 鮪魚(吞拿魚)總匯口味, 1歲以上成貓, 1.2kg, 1袋</t>
  </si>
  <si>
    <t xml:space="preserve">M10240887</t>
  </si>
  <si>
    <t xml:space="preserve">153706569875456</t>
  </si>
  <si>
    <t xml:space="preserve">19334214036363</t>
  </si>
  <si>
    <t xml:space="preserve">M60018009</t>
  </si>
  <si>
    <t xml:space="preserve">[箱裝]Sheba 希寶 金罐, 白身鮪魚 + 鮭魚, 85g, 24罐, 1箱</t>
  </si>
  <si>
    <t xml:space="preserve">M10201244-1</t>
  </si>
  <si>
    <t xml:space="preserve">(M)-
(E)2027-09-22</t>
  </si>
  <si>
    <t xml:space="preserve">153706913841152</t>
  </si>
  <si>
    <t xml:space="preserve">4893565702948</t>
  </si>
  <si>
    <t xml:space="preserve">M60017756</t>
  </si>
  <si>
    <t xml:space="preserve">[箱裝]Sheba 希寶 主食金罐 白身鮪魚魚凍, 85g, 24罐, 1箱</t>
  </si>
  <si>
    <t xml:space="preserve">M10201240-1</t>
  </si>
  <si>
    <t xml:space="preserve">(M)-
(E)2027-09-17</t>
  </si>
  <si>
    <t xml:space="preserve">153706968367106</t>
  </si>
  <si>
    <t xml:space="preserve">4893565702979</t>
  </si>
  <si>
    <t xml:space="preserve">M60017765</t>
  </si>
  <si>
    <t xml:space="preserve">[箱裝] Sheba 希寶 主食金罐 鮮湯鮪魚片湯汁, 85g, 24罐, 1箱</t>
  </si>
  <si>
    <t xml:space="preserve">M10201238-1</t>
  </si>
  <si>
    <t xml:space="preserve">153707299700738</t>
  </si>
  <si>
    <t xml:space="preserve">4902397847939</t>
  </si>
  <si>
    <t xml:space="preserve">M10265743</t>
  </si>
  <si>
    <t xml:space="preserve">[組出]Sheba 希寶 日式鮮饌包 貓副食餐包, 鮮魚總匯 鮪魚 + 鯛魚, 35g, 12包, 1盒</t>
  </si>
  <si>
    <t xml:space="preserve">153741470695427</t>
  </si>
  <si>
    <t xml:space="preserve">4902397812517</t>
  </si>
  <si>
    <t xml:space="preserve">M60002173</t>
  </si>
  <si>
    <t xml:space="preserve">[組出] Cesar 西莎 成犬 蒸鮮包, 低脂雞肉, 70g, 16包</t>
  </si>
  <si>
    <t xml:space="preserve">M10243523</t>
  </si>
  <si>
    <t xml:space="preserve">(M)2025-09-23
(E)2027-09-23</t>
  </si>
  <si>
    <t xml:space="preserve">334113106018304</t>
  </si>
  <si>
    <t xml:space="preserve">19334214025008</t>
  </si>
  <si>
    <t xml:space="preserve">M10403049</t>
  </si>
  <si>
    <t xml:space="preserve">[箱裝]Sheba 希寶 鮮饌包 貓主食餐包, 鮪魚 + 鮭魚, 70g, 24包, 1箱</t>
  </si>
  <si>
    <t xml:space="preserve">M10208259-1</t>
  </si>
  <si>
    <t xml:space="preserve">(M)-
(E)2027-09-23</t>
  </si>
  <si>
    <t xml:space="preserve">(M)2025-12-23
(E)2027-06-23</t>
  </si>
  <si>
    <t xml:space="preserve">401926092947456</t>
  </si>
  <si>
    <t xml:space="preserve">18853301001554</t>
  </si>
  <si>
    <t xml:space="preserve">M60003634</t>
  </si>
  <si>
    <t xml:space="preserve">[箱裝]Temptations 喵愛餡 貓點心, 開胃甜鮭口味, 75g, 12包</t>
  </si>
  <si>
    <t xml:space="preserve">M10288367</t>
  </si>
  <si>
    <t xml:space="preserve">415660261703681</t>
  </si>
  <si>
    <t xml:space="preserve">18853301012598</t>
  </si>
  <si>
    <t xml:space="preserve">M10272373</t>
  </si>
  <si>
    <t xml:space="preserve">[箱裝]whiskas 偉嘉 什錦珍味妙鮮包 貓主食餐包, 鮪魚 + 蟹肉 + 紅蘿蔔湯汁, 70g, 28包, 1箱</t>
  </si>
  <si>
    <t xml:space="preserve">(M)2025-12-25
(E)2027-06-22</t>
  </si>
  <si>
    <t xml:space="preserve">461367559536649</t>
  </si>
  <si>
    <t xml:space="preserve">8853301002608</t>
  </si>
  <si>
    <t xml:space="preserve">M60003652</t>
  </si>
  <si>
    <t xml:space="preserve">Temptations 喵愛餡 貓點心, 化毛口味, 130g, 1包</t>
  </si>
  <si>
    <t xml:space="preserve">M10290724</t>
  </si>
  <si>
    <t xml:space="preserve">522244895791653</t>
  </si>
  <si>
    <t xml:space="preserve">16914973706344</t>
  </si>
  <si>
    <t xml:space="preserve">M10403196</t>
  </si>
  <si>
    <t xml:space="preserve">[箱裝]Sheba 希寶 主食貓罐頭 雞肉慕斯佐雞肝, 70g, 24罐, 1箱</t>
  </si>
  <si>
    <t xml:space="preserve">(M)2025-09-23
(E)2027-09-22</t>
  </si>
  <si>
    <t xml:space="preserve">522244896158369</t>
  </si>
  <si>
    <t xml:space="preserve">14902397812583</t>
  </si>
  <si>
    <t xml:space="preserve">[箱裝]Cesar 西莎 成犬 蒸鮮包, 低脂雞肉 + 蔬菜, 70g, 16包, 10盒</t>
  </si>
  <si>
    <t xml:space="preserve">522244896162143</t>
  </si>
  <si>
    <t xml:space="preserve">14902397839214</t>
  </si>
  <si>
    <t xml:space="preserve">[箱裝] Cesar 西莎 成犬 蒸鮮包, 牛肉 + 蔬菜, 70g, 160包</t>
  </si>
  <si>
    <t xml:space="preserve">522244896164001</t>
  </si>
  <si>
    <t xml:space="preserve">14902397812507</t>
  </si>
  <si>
    <t xml:space="preserve">[箱裝]Cesar 西莎 成犬 蒸鮮包, 低脂雞肉, 70g, 16包, 10盒</t>
  </si>
  <si>
    <t xml:space="preserve">522244896201698</t>
  </si>
  <si>
    <t xml:space="preserve">10642863041263</t>
  </si>
  <si>
    <t xml:space="preserve">M10225150</t>
  </si>
  <si>
    <t xml:space="preserve">Greenies 健綠</t>
  </si>
  <si>
    <t xml:space="preserve">[箱裝]Greenies 健綠 原味潔牙骨 7-11公斤 小型犬用, 27oz, 45支, 12盒</t>
  </si>
  <si>
    <t xml:space="preserve">522244896201815</t>
  </si>
  <si>
    <t xml:space="preserve">4902397847915</t>
  </si>
  <si>
    <t xml:space="preserve">[箱裝]Sheba 希寶 日式鮮饌包 貓副食餐包, 鮮魚總匯 鮪魚 + 鯛魚, 35g, 96包</t>
  </si>
  <si>
    <t xml:space="preserve">522244896202929</t>
  </si>
  <si>
    <t xml:space="preserve">4902397846444</t>
  </si>
  <si>
    <t xml:space="preserve">M10281283</t>
  </si>
  <si>
    <t xml:space="preserve">[箱裝]Cesar 西莎 點心系列 狗零食 主廚嚴選香軟牛肉切塊口味, 100g, 36包, 1箱</t>
  </si>
  <si>
    <t xml:space="preserve">M10244997</t>
  </si>
  <si>
    <t xml:space="preserve">522244896212804</t>
  </si>
  <si>
    <t xml:space="preserve">10642863041126</t>
  </si>
  <si>
    <t xml:space="preserve">M10225171</t>
  </si>
  <si>
    <t xml:space="preserve">[箱裝]Greenies 健綠 原味潔牙骨, 22-45公斤 大型犬用, 27oz, 17支, 12盒</t>
  </si>
  <si>
    <t xml:space="preserve">522244896212832</t>
  </si>
  <si>
    <t xml:space="preserve">10642863041195</t>
  </si>
  <si>
    <t xml:space="preserve">M10225169</t>
  </si>
  <si>
    <t xml:space="preserve">[箱裝]Greenies 健綠 原味潔牙骨, 11-22公斤 中型犬用, 27oz, 27支, 12盒</t>
  </si>
  <si>
    <t xml:space="preserve">522244896300378</t>
  </si>
  <si>
    <t xml:space="preserve">18853301001615</t>
  </si>
  <si>
    <t xml:space="preserve">[組出]Temptations 喵愛餡 貓點心, 160g, 香誘鮮鮪口味, 10個</t>
  </si>
  <si>
    <t xml:space="preserve">522244896303566</t>
  </si>
  <si>
    <t xml:space="preserve">4714686202257</t>
  </si>
  <si>
    <t xml:space="preserve">M60024819</t>
  </si>
  <si>
    <t xml:space="preserve">Temptations 喵愛餡 貓點心綜合口味6入組, 火烤嫩雞2包 + 開胃甜鮭2包 + 香誘鮮鮪2包, 960g, 1組</t>
  </si>
  <si>
    <t xml:space="preserve">522244896318766</t>
  </si>
  <si>
    <t xml:space="preserve">5010394984577</t>
  </si>
  <si>
    <t xml:space="preserve">M60017644</t>
  </si>
  <si>
    <t xml:space="preserve">Pedigree 寶路 X型潔牙骨 小型犬專用, 105g, 原味, 1個</t>
  </si>
  <si>
    <t xml:space="preserve">13000000535510</t>
  </si>
  <si>
    <t xml:space="preserve">TXFC2</t>
  </si>
  <si>
    <t xml:space="preserve">桃園市平鎮區雙福路一段65號C倉</t>
  </si>
  <si>
    <t xml:space="preserve">(M)-
(E)2027-06-21</t>
  </si>
  <si>
    <t xml:space="preserve">154360315068420</t>
  </si>
  <si>
    <t xml:space="preserve">19310022725804</t>
  </si>
  <si>
    <t xml:space="preserve">M10281613</t>
  </si>
  <si>
    <t xml:space="preserve">[箱裝]Pedigree 寶路 成犬罐頭, 牛肉, 400g, 24罐, 1箱</t>
  </si>
  <si>
    <t xml:space="preserve">M10205197-1</t>
  </si>
  <si>
    <t xml:space="preserve">(M)-
(E)2027-09-21</t>
  </si>
  <si>
    <t xml:space="preserve">13000000504373</t>
  </si>
  <si>
    <t xml:space="preserve">522244895972659</t>
  </si>
  <si>
    <t xml:space="preserve">4987176232847</t>
  </si>
  <si>
    <t xml:space="preserve">Pampers 幫寶適</t>
  </si>
  <si>
    <t xml:space="preserve">Pampers 幫寶適 原廠公司貨 清新幫拉拉褲/褲型尿布, XXXL, 17kg, 22片</t>
  </si>
  <si>
    <t xml:space="preserve">(M)2025-03-13
(E)2028-03-11</t>
  </si>
  <si>
    <t xml:space="preserve">MPO_260831_MPO Application_Baby &amp; HPC</t>
  </si>
  <si>
    <t xml:space="preserve">13000000504334</t>
  </si>
  <si>
    <t xml:space="preserve">123251506233357</t>
  </si>
  <si>
    <t xml:space="preserve">4902430363938</t>
  </si>
  <si>
    <t xml:space="preserve">Febreze 風倍清</t>
  </si>
  <si>
    <t xml:space="preserve">[DS]Febreze 風倍清 織物除菌消臭噴霧 綠茶清香 370ml,1瓶</t>
  </si>
  <si>
    <t xml:space="preserve">(M)-
(E)2027-06-10</t>
  </si>
  <si>
    <t xml:space="preserve">123251627868166</t>
  </si>
  <si>
    <t xml:space="preserve">4902430363921</t>
  </si>
  <si>
    <t xml:space="preserve">[DS]febreze 風倍清 台灣公司貨 織物除菌消臭噴霧 高效除菌, 370ml, 1瓶</t>
  </si>
  <si>
    <t xml:space="preserve">149777425580032</t>
  </si>
  <si>
    <t xml:space="preserve">4987176030399</t>
  </si>
  <si>
    <t xml:space="preserve">[DS]febreze 風倍清 台灣公司貨 浴廁用抗菌消臭防臭劑 山谷微香, 6ml, 2入,1組</t>
  </si>
  <si>
    <t xml:space="preserve">個</t>
  </si>
  <si>
    <t xml:space="preserve">149777803100160</t>
  </si>
  <si>
    <t xml:space="preserve">4987176030351</t>
  </si>
  <si>
    <t xml:space="preserve">[DS]febreze 風倍清 台灣公司貨 浴廁用抗菌消臭防臭劑, 清爽皂香, 6ml, 2入,1組</t>
  </si>
  <si>
    <t xml:space="preserve">254117733711873</t>
  </si>
  <si>
    <t xml:space="preserve">4987176156587</t>
  </si>
  <si>
    <t xml:space="preserve">[DS]febreze 風倍清 台灣公司貨 新包裝升級 浴廁用防霉防臭劑, 柔和花香, 7ml, 2入,1組</t>
  </si>
  <si>
    <t xml:space="preserve">254118593527808</t>
  </si>
  <si>
    <t xml:space="preserve">4987176156563</t>
  </si>
  <si>
    <t xml:space="preserve">[DS]febreze 風倍清 台灣公司貨 新包裝升級 浴廁用防霉防臭劑, 柔和花香, 7ml, 1入</t>
  </si>
  <si>
    <t xml:space="preserve">254118593527810</t>
  </si>
  <si>
    <t xml:space="preserve">4987176156594</t>
  </si>
  <si>
    <t xml:space="preserve">[DS]febreze 風倍清 台灣公司貨 新包裝升級浴廁用防霉防臭劑, 清新柑橘, 7ml, 2入,1組</t>
  </si>
  <si>
    <t xml:space="preserve">522244896442066</t>
  </si>
  <si>
    <t xml:space="preserve">4987176339935</t>
  </si>
  <si>
    <t xml:space="preserve">Bold</t>
  </si>
  <si>
    <t xml:space="preserve">Bold 原廠公司貨 四合一洗衣膠囊 清淨花香, 31個裝, 1套</t>
  </si>
  <si>
    <t xml:space="preserve">(M)2025-12-13
(E)2027-06-10</t>
  </si>
  <si>
    <t xml:space="preserve">13000000500615</t>
  </si>
  <si>
    <t xml:space="preserve">OOS SKUs</t>
  </si>
  <si>
    <t xml:space="preserve">474068608335874</t>
  </si>
  <si>
    <t xml:space="preserve">4987176274892</t>
  </si>
  <si>
    <t xml:space="preserve">Lenor 蘭諾</t>
  </si>
  <si>
    <t xml:space="preserve">[DS]Lenor 蘭諾 台灣公司貨 衣物芳香豆 淨白純棉, 470ml, 1瓶</t>
  </si>
  <si>
    <t xml:space="preserve">(M)2025-09-11
(E)2027-09-10</t>
  </si>
  <si>
    <t xml:space="preserve">522244895972658</t>
  </si>
  <si>
    <t xml:space="preserve">4987176232878</t>
  </si>
  <si>
    <t xml:space="preserve">Pampers 幫寶適 原廠公司貨 清新幫拉拉褲/褲型尿布, XXL, 15kg, 26片</t>
  </si>
  <si>
    <t xml:space="preserve">13000000497608</t>
  </si>
  <si>
    <t xml:space="preserve">TAO4</t>
  </si>
  <si>
    <t xml:space="preserve">桃園市觀音區玉林路一段523號</t>
  </si>
  <si>
    <t xml:space="preserve">522244896201790</t>
  </si>
  <si>
    <t xml:space="preserve">14710716334056</t>
  </si>
  <si>
    <t xml:space="preserve">M60019828</t>
  </si>
  <si>
    <t xml:space="preserve">[箱裝]Airwaves 超涼無糖口香糖 超值包 冰炫薄荷口味, 62g, 10包, 6盒</t>
  </si>
  <si>
    <t xml:space="preserve">M10254108</t>
  </si>
  <si>
    <t xml:space="preserve">(M)-
(E)2027-04-17</t>
  </si>
  <si>
    <t xml:space="preserve">522244896202551</t>
  </si>
  <si>
    <t xml:space="preserve">14710716337149</t>
  </si>
  <si>
    <t xml:space="preserve">M60019110</t>
  </si>
  <si>
    <t xml:space="preserve">[箱裝]Extra 益齒達 潔淨無糖口香糖 薄荷口味, 62g, 10包, 6盒</t>
  </si>
  <si>
    <t xml:space="preserve">M10280319</t>
  </si>
  <si>
    <t xml:space="preserve">13000000486281</t>
  </si>
  <si>
    <t xml:space="preserve">TAO3</t>
  </si>
  <si>
    <t xml:space="preserve">桃園市大園區中山南路472號</t>
  </si>
  <si>
    <t xml:space="preserve">123251539820600</t>
  </si>
  <si>
    <t xml:space="preserve">4712318590482</t>
  </si>
  <si>
    <t xml:space="preserve">1021314</t>
  </si>
  <si>
    <t xml:space="preserve">橘子工坊 天然無香精制菌洗衣精-洗淨病毒升級版1800ml(洗淨RSV/冠狀病毒/AB型流感病毒)</t>
  </si>
  <si>
    <t xml:space="preserve">(M)-
(E)2028-03-11</t>
  </si>
  <si>
    <t xml:space="preserve">Tip_system_shufflefail_snop_reque</t>
  </si>
  <si>
    <t xml:space="preserve">13000000485635</t>
  </si>
  <si>
    <t xml:space="preserve">13000000472926</t>
  </si>
  <si>
    <t xml:space="preserve">123251787268102</t>
  </si>
  <si>
    <t xml:space="preserve">4710104026764</t>
  </si>
  <si>
    <t xml:space="preserve">0106065</t>
  </si>
  <si>
    <t xml:space="preserve">01-五月花</t>
  </si>
  <si>
    <t xml:space="preserve">五月花 厚棒袖珍包面紙, 8張, 24包</t>
  </si>
  <si>
    <t xml:space="preserve">(M)-
(E)2029-03-11</t>
  </si>
  <si>
    <t xml:space="preserve">Split_原訂單  13000000469791</t>
  </si>
  <si>
    <t xml:space="preserve">13000000472873</t>
  </si>
  <si>
    <t xml:space="preserve">423354074873856</t>
  </si>
  <si>
    <t xml:space="preserve">4710908004166</t>
  </si>
  <si>
    <t xml:space="preserve">1022251</t>
  </si>
  <si>
    <t xml:space="preserve">ORANGE HOUSE 橘子工坊 家用清潔去垢酵素洗碗精, 650ml, 1瓶</t>
  </si>
  <si>
    <t xml:space="preserve">Split_原訂單 13000000469841</t>
  </si>
  <si>
    <t xml:space="preserve">423619876323328</t>
  </si>
  <si>
    <t xml:space="preserve">4710908004180</t>
  </si>
  <si>
    <t xml:space="preserve">1022252</t>
  </si>
  <si>
    <t xml:space="preserve">ORANGE HOUSE 橘子工坊 家用清潔去垢酵素洗碗精, 500ml, 1包</t>
  </si>
  <si>
    <t xml:space="preserve">80838275</t>
  </si>
  <si>
    <t xml:space="preserve">80826209</t>
  </si>
  <si>
    <t xml:space="preserve">13000000524792</t>
  </si>
  <si>
    <t xml:space="preserve">(M)-
(E)2027-06-17</t>
  </si>
  <si>
    <t xml:space="preserve">(M)-
(E)2027-09-18</t>
  </si>
  <si>
    <t xml:space="preserve">334113110196224</t>
  </si>
  <si>
    <t xml:space="preserve">19334214025015</t>
  </si>
  <si>
    <t xml:space="preserve">M10406572</t>
  </si>
  <si>
    <t xml:space="preserve">[箱裝]Sheba 希寶 鮮饌包 貓主食餐包 鮪魚 + 雞肉 + 扇貝, 70g, 24包, 1箱</t>
  </si>
  <si>
    <t xml:space="preserve">(M)2025-12-20
(E)2027-06-17</t>
  </si>
  <si>
    <t xml:space="preserve">(M)2025-09-18
(E)2027-09-17</t>
  </si>
  <si>
    <t xml:space="preserve">13000000524712</t>
  </si>
  <si>
    <t xml:space="preserve">122902854713363</t>
  </si>
  <si>
    <t xml:space="preserve">4710716336152</t>
  </si>
  <si>
    <t xml:space="preserve">M10283141</t>
  </si>
  <si>
    <t xml:space="preserve">Airwaves 超涼無糖薄荷糖 超凉薄荷口味, 30g, 3條, 1袋</t>
  </si>
  <si>
    <t xml:space="preserve">(M)-
(E)2027-08-10</t>
  </si>
  <si>
    <t xml:space="preserve">(M)-
(E)2027-04-24</t>
  </si>
  <si>
    <t xml:space="preserve">263074619572226</t>
  </si>
  <si>
    <t xml:space="preserve">24710716331380</t>
  </si>
  <si>
    <t xml:space="preserve">M60019100</t>
  </si>
  <si>
    <t xml:space="preserve">[組出] DOUBLEMINT 青箭 粒裝口香糖超值包, 全素可食, 82.6g, 10包, 1盒</t>
  </si>
  <si>
    <t xml:space="preserve">M10236054</t>
  </si>
  <si>
    <t xml:space="preserve">263074653126662</t>
  </si>
  <si>
    <t xml:space="preserve">4718201213131</t>
  </si>
  <si>
    <t xml:space="preserve">M60019113</t>
  </si>
  <si>
    <t xml:space="preserve">[組出] Extra 益齒達 潔淨無糖口香糖 香甜葡萄口味, 62g, 10包, 1盒</t>
  </si>
  <si>
    <t xml:space="preserve">M10280322</t>
  </si>
  <si>
    <t xml:space="preserve">334483190398976</t>
  </si>
  <si>
    <t xml:space="preserve">4718201215753</t>
  </si>
  <si>
    <t xml:space="preserve">M10267024</t>
  </si>
  <si>
    <t xml:space="preserve">[組出] eclipse 易口舒 無糖薄荷錠, 沁香葡萄口味, 30g, 8盒</t>
  </si>
  <si>
    <t xml:space="preserve">(M)-
(E)2027-06-14</t>
  </si>
  <si>
    <t xml:space="preserve">(M)2026-04-25
(E)2027-04-24</t>
  </si>
  <si>
    <t xml:space="preserve">13000000524187</t>
  </si>
  <si>
    <t xml:space="preserve">404465521737728</t>
  </si>
  <si>
    <t xml:space="preserve">18853301001592</t>
  </si>
  <si>
    <t xml:space="preserve">M60003631</t>
  </si>
  <si>
    <t xml:space="preserve">[箱裝]Temptations 喵愛餡 貓點心, 香誘鮮鮪口味, 75g, 12包, 1箱</t>
  </si>
  <si>
    <t xml:space="preserve">M10288376</t>
  </si>
  <si>
    <t xml:space="preserve">13000000521421</t>
  </si>
  <si>
    <t xml:space="preserve">334483190382592</t>
  </si>
  <si>
    <t xml:space="preserve">4710716337951</t>
  </si>
  <si>
    <t xml:space="preserve">M60019107</t>
  </si>
  <si>
    <t xml:space="preserve">[組出] Extra 益齒達 潔淨無糖口香糖 清檸薄荷口味, 62g, 10包, 1盒</t>
  </si>
  <si>
    <t xml:space="preserve">M10280316</t>
  </si>
  <si>
    <t xml:space="preserve">483037523460096</t>
  </si>
  <si>
    <t xml:space="preserve">14718201219451</t>
  </si>
  <si>
    <t xml:space="preserve">M10236068</t>
  </si>
  <si>
    <t xml:space="preserve">[箱裝] Eclipse 易口舒 脆皮軟心薄荷糖 勁爽薄荷口味, 46g, 20包</t>
  </si>
  <si>
    <t xml:space="preserve">13000000517298</t>
  </si>
  <si>
    <t xml:space="preserve">522244896202886</t>
  </si>
  <si>
    <t xml:space="preserve">14718201211332</t>
  </si>
  <si>
    <t xml:space="preserve">M10266643</t>
  </si>
  <si>
    <t xml:space="preserve">[箱裝]Doublemint 青箭 粒裝口香糖, 薄荷口味, 28g, 60包</t>
  </si>
  <si>
    <t xml:space="preserve">522244896207709</t>
  </si>
  <si>
    <t xml:space="preserve">19300613109564</t>
  </si>
  <si>
    <t xml:space="preserve">M10236063</t>
  </si>
  <si>
    <t xml:space="preserve">[箱裝]eclipse 易口舒 無糖薄荷錠, 勁爽薄荷口味, 150g, 220粒, 10袋</t>
  </si>
  <si>
    <t xml:space="preserve">13000000517367</t>
  </si>
  <si>
    <t xml:space="preserve">(M)-
(E)2029-03-19</t>
  </si>
  <si>
    <t xml:space="preserve">13000000469713</t>
  </si>
  <si>
    <t xml:space="preserve">TPH1</t>
  </si>
  <si>
    <t xml:space="preserve">新北市瑞芳區楓子瀨路1巷8號</t>
  </si>
  <si>
    <t xml:space="preserve">150841612795904</t>
  </si>
  <si>
    <t xml:space="preserve">4710104023985</t>
  </si>
  <si>
    <t xml:space="preserve">0105067</t>
  </si>
  <si>
    <t xml:space="preserve">[箱裝]五月花 大捲筒衛生紙, 800g, 3捲, 4袋</t>
  </si>
  <si>
    <t xml:space="preserve">MPO_260818_MPO Application_Baby &amp; HPC</t>
  </si>
  <si>
    <t xml:space="preserve">150852803182592</t>
  </si>
  <si>
    <t xml:space="preserve">4710104023008</t>
  </si>
  <si>
    <t xml:space="preserve">0102367</t>
  </si>
  <si>
    <t xml:space="preserve">[箱裝]五月花 新柔韌 抽取衛生紙 130抽, 12包, 6袋, 1箱</t>
  </si>
  <si>
    <t xml:space="preserve">大型150</t>
  </si>
  <si>
    <t xml:space="preserve">151564018728960</t>
  </si>
  <si>
    <t xml:space="preserve">4710104026092</t>
  </si>
  <si>
    <t xml:space="preserve">0304025</t>
  </si>
  <si>
    <t xml:space="preserve">[箱裝] 得意 抽取式廚房紙巾, 100抽, 30包 輕巧尺寸</t>
  </si>
  <si>
    <t xml:space="preserve">204080764928002</t>
  </si>
  <si>
    <t xml:space="preserve">4710104007176</t>
  </si>
  <si>
    <t xml:space="preserve">0102366</t>
  </si>
  <si>
    <t xml:space="preserve">[箱裝]五月花 新柔韌抽取衛生紙, 100抽, 10包, 6袋</t>
  </si>
  <si>
    <t xml:space="preserve">278376992456704</t>
  </si>
  <si>
    <t xml:space="preserve">4710104007039</t>
  </si>
  <si>
    <t xml:space="preserve">0105034</t>
  </si>
  <si>
    <t xml:space="preserve">[箱裝]五月花 三層捲筒衛生紙 200張, 6捲, 16袋</t>
  </si>
  <si>
    <t xml:space="preserve">278376996651008</t>
  </si>
  <si>
    <t xml:space="preserve">4710104009897</t>
  </si>
  <si>
    <t xml:space="preserve">0302090</t>
  </si>
  <si>
    <t xml:space="preserve">[箱裝]得意優質抽取式衛生紙, 100抽, 24包, 3袋</t>
  </si>
  <si>
    <t xml:space="preserve">278376996651010</t>
  </si>
  <si>
    <t xml:space="preserve">4710104007183</t>
  </si>
  <si>
    <t xml:space="preserve">0102365</t>
  </si>
  <si>
    <t xml:space="preserve">[箱裝]五月花新柔韌抽取衛生紙110抽x12包x6袋</t>
  </si>
  <si>
    <t xml:space="preserve">278377957130251</t>
  </si>
  <si>
    <t xml:space="preserve">4710104009514</t>
  </si>
  <si>
    <t xml:space="preserve">0102362</t>
  </si>
  <si>
    <t xml:space="preserve">[箱裝]五月花蓬厚柔頂級抽取衛生紙100抽x12包x6袋</t>
  </si>
  <si>
    <t xml:space="preserve">13000000472924</t>
  </si>
  <si>
    <t xml:space="preserve">TAO17</t>
  </si>
  <si>
    <t xml:space="preserve">桃園市大園區開和路128號5樓, 7樓</t>
  </si>
  <si>
    <t xml:space="preserve">(M)-
(E)2029-03-18</t>
  </si>
  <si>
    <t xml:space="preserve">Split_原訂單  13000000469821</t>
  </si>
  <si>
    <t xml:space="preserve">13000000535176</t>
  </si>
  <si>
    <t xml:space="preserve">(M)2025-03-31
(E)2028-03-29</t>
  </si>
  <si>
    <t xml:space="preserve">MPO_260910_MPO Application_Baby &amp; HPC</t>
  </si>
  <si>
    <t xml:space="preserve">13000000523344</t>
  </si>
  <si>
    <t xml:space="preserve">435649257603072</t>
  </si>
  <si>
    <t xml:space="preserve">14987176232868</t>
  </si>
  <si>
    <t xml:space="preserve">4987176232861</t>
  </si>
  <si>
    <t xml:space="preserve">[DS][箱裝]Pampers 幫寶適 原廠公司貨 CP值之選清新幫紙尿褲/尿布, 黏貼型, L, 9-14kg, 184片</t>
  </si>
  <si>
    <t xml:space="preserve">(M)2025-03-23
(E)2028-03-21</t>
  </si>
  <si>
    <t xml:space="preserve">435649257603073</t>
  </si>
  <si>
    <t xml:space="preserve">14987176232851</t>
  </si>
  <si>
    <t xml:space="preserve">4987176232854</t>
  </si>
  <si>
    <t xml:space="preserve">[DS][箱裝]Pampers 幫寶適 原廠公司貨 CP值之選清新幫紙尿褲/尿布, 黏貼型, XL, 12~17kg, 152片, 1箱</t>
  </si>
  <si>
    <t xml:space="preserve">522244896442068</t>
  </si>
  <si>
    <t xml:space="preserve">14987176407921</t>
  </si>
  <si>
    <t xml:space="preserve">4987176407924</t>
  </si>
  <si>
    <t xml:space="preserve">Pampers 幫寶適 原廠公司貨 一級幫黏貼型嬰兒紙尿褲 NB 32片 + S 112片, 新生兒用 (NB), 144片</t>
  </si>
  <si>
    <t xml:space="preserve">(M)-
(E)2028-03-21</t>
  </si>
  <si>
    <t xml:space="preserve">522244896442723</t>
  </si>
  <si>
    <t xml:space="preserve">14987176411331</t>
  </si>
  <si>
    <t xml:space="preserve">4987176411334</t>
  </si>
  <si>
    <t xml:space="preserve">Pampers 幫寶適 原廠公司貨 極上守護 史上最強一級幫紙尿褲/尿布禮盒/彌月禮盒組 黏貼型S 132片 + 黏貼型M 54片, S + M, 186片, 1盒</t>
  </si>
  <si>
    <t xml:space="preserve">13000000527595</t>
  </si>
  <si>
    <t xml:space="preserve">MPO_260908_MPO Application_Baby &amp; HPC</t>
  </si>
  <si>
    <t xml:space="preserve">522244895850725</t>
  </si>
  <si>
    <t xml:space="preserve">14987176337099</t>
  </si>
  <si>
    <t xml:space="preserve">4987176337092</t>
  </si>
  <si>
    <t xml:space="preserve">[箱裝]Pampers 幫寶適 原廠公司貨 清新幫黏貼型尿布, S, 4~8kg, 264片</t>
  </si>
  <si>
    <t xml:space="preserve">522244896172125</t>
  </si>
  <si>
    <t xml:space="preserve">14987176340921</t>
  </si>
  <si>
    <t xml:space="preserve">4987176340924</t>
  </si>
  <si>
    <t xml:space="preserve">ARIEL</t>
  </si>
  <si>
    <t xml:space="preserve">[DS][箱裝]ARIEL 台灣公司貨 超濃縮 新升級 抗菌洗衣精補充包, 自然微香型, 1690g, 6包</t>
  </si>
  <si>
    <t xml:space="preserve">(M)2025-09-21
(E)2027-09-20</t>
  </si>
  <si>
    <t xml:space="preserve">13000000523348</t>
  </si>
  <si>
    <t xml:space="preserve">522244895972652</t>
  </si>
  <si>
    <t xml:space="preserve">4987176337085</t>
  </si>
  <si>
    <t xml:space="preserve">Pampers 幫寶適 原廠公司貨 清新幫黏貼型紙尿褲/尿布, M, 6~11kg, 54片</t>
  </si>
  <si>
    <t xml:space="preserve">522244895972654</t>
  </si>
  <si>
    <t xml:space="preserve">Pampers 幫寶適 原廠公司貨 清新幫黏貼型紙尿褲/尿布, L, 9~14kg, 46片</t>
  </si>
  <si>
    <t xml:space="preserve">522244895972657</t>
  </si>
  <si>
    <t xml:space="preserve">4987176232892</t>
  </si>
  <si>
    <t xml:space="preserve">Pampers 幫寶適 原廠公司貨 清新幫拉拉褲/褲型尿布, XL, 12~17kg, 38片</t>
  </si>
  <si>
    <t xml:space="preserve">13000000533157</t>
  </si>
  <si>
    <t xml:space="preserve">(M)-
(E)2027-06-20</t>
  </si>
  <si>
    <t xml:space="preserve">MPO_260909_MPO Application_Baby &amp; HPC</t>
  </si>
  <si>
    <t xml:space="preserve">(M)-
(E)2027-09-20</t>
  </si>
  <si>
    <t xml:space="preserve">522244895785282</t>
  </si>
  <si>
    <t xml:space="preserve">4987176294395</t>
  </si>
  <si>
    <t xml:space="preserve">Gillette 吉列</t>
  </si>
  <si>
    <t xml:space="preserve">Gillette 吉列 台灣公司貨 刮鬍泡 清新檸檬, 333g, 1罐</t>
  </si>
  <si>
    <t xml:space="preserve">522244895806720</t>
  </si>
  <si>
    <t xml:space="preserve">4987176314338</t>
  </si>
  <si>
    <t xml:space="preserve">Lenor 蘭諾 衣物芳香豆 甜花石榴香, 450ml, 1瓶</t>
  </si>
  <si>
    <t xml:space="preserve">522244895806734</t>
  </si>
  <si>
    <t xml:space="preserve">4987176314284</t>
  </si>
  <si>
    <t xml:space="preserve">Lenor 蘭諾 衣物抗菌芳香豆 運動衣物抗臭, 440ml, 1瓶</t>
  </si>
  <si>
    <t xml:space="preserve">522244895972655</t>
  </si>
  <si>
    <t xml:space="preserve">4987176232885</t>
  </si>
  <si>
    <t xml:space="preserve">Pampers 幫寶適 原廠公司貨 清新幫拉拉褲/褲型尿布, L, 9~14kg, 42片</t>
  </si>
  <si>
    <t xml:space="preserve">522244895972656</t>
  </si>
  <si>
    <t xml:space="preserve">Pampers 幫寶適 原廠公司貨 清新幫黏貼型紙尿褲/尿布, XL, 12~17kg, 38片</t>
  </si>
  <si>
    <t xml:space="preserve">522244896175860</t>
  </si>
  <si>
    <t xml:space="preserve">4987176337146</t>
  </si>
  <si>
    <t xml:space="preserve">ARIEL 原廠公司貨 4D抗菌洗衣膠囊補充包 自然微香型, 30個裝, 1套</t>
  </si>
  <si>
    <t xml:space="preserve">(M)2025-12-23
(E)2027-06-20</t>
  </si>
  <si>
    <t xml:space="preserve">522244896205155</t>
  </si>
  <si>
    <t xml:space="preserve">4987176214720</t>
  </si>
  <si>
    <t xml:space="preserve">whisper 好自在 熊抱安睡褲 XL, 8片, 1包</t>
  </si>
  <si>
    <t xml:space="preserve">522244896205156</t>
  </si>
  <si>
    <t xml:space="preserve">6903148224090</t>
  </si>
  <si>
    <t xml:space="preserve">whisper 好自在 經典款 液體衛生棉 量多日用型 27cm, 日用, 16片, 1個</t>
  </si>
  <si>
    <t xml:space="preserve">522244896295333</t>
  </si>
  <si>
    <t xml:space="preserve">4987176372307</t>
  </si>
  <si>
    <t xml:space="preserve">whisper 好自在 熊抱安睡褲 L, 夜用, 8片, 3包</t>
  </si>
  <si>
    <t xml:space="preserve">組</t>
  </si>
  <si>
    <t xml:space="preserve">522244896371912</t>
  </si>
  <si>
    <t xml:space="preserve">4987176340863</t>
  </si>
  <si>
    <t xml:space="preserve">ARIEL 原廠公司貨 抗菌洗衣精 室內晾衣型, 1.9kg, 1個</t>
  </si>
  <si>
    <t xml:space="preserve">13000000533155</t>
  </si>
  <si>
    <t xml:space="preserve">522244896293692</t>
  </si>
  <si>
    <t xml:space="preserve">4987176405289</t>
  </si>
  <si>
    <t xml:space="preserve">ARIEL 原廠公司貨 4D抗菌洗衣膠囊補充包 抗菌去漬型, 80個裝, 1套</t>
  </si>
  <si>
    <t xml:space="preserve">(M)2025-12-19
(E)2027-06-16</t>
  </si>
  <si>
    <t xml:space="preserve">13000000531968</t>
  </si>
  <si>
    <t xml:space="preserve">122904234672129</t>
  </si>
  <si>
    <t xml:space="preserve">4902430659567</t>
  </si>
  <si>
    <t xml:space="preserve">HAIR RECIPE 髮的食譜</t>
  </si>
  <si>
    <t xml:space="preserve">[DS]HAIR RECIPE 髪的料理 蘋果生薑防斷修護潤髮乳, 530g, 1瓶</t>
  </si>
  <si>
    <t xml:space="preserve">(M)-
(E)2028-03-17</t>
  </si>
  <si>
    <t xml:space="preserve">123251585925132</t>
  </si>
  <si>
    <t xml:space="preserve">4902430910255</t>
  </si>
  <si>
    <t xml:space="preserve">[DS]febreze 風倍清 織物除菌消臭噴霧 無香酒精+, 370ml, 1瓶</t>
  </si>
  <si>
    <t xml:space="preserve">253728745553924</t>
  </si>
  <si>
    <t xml:space="preserve">4902430826815</t>
  </si>
  <si>
    <t xml:space="preserve">Oral-B 歐樂B</t>
  </si>
  <si>
    <t xml:space="preserve">Oral-B 歐樂B 抗敏護齦牙膏 專業修護, 森林薄荷, 90g, 1條</t>
  </si>
  <si>
    <t xml:space="preserve">254098020483075</t>
  </si>
  <si>
    <t xml:space="preserve">4987176122865</t>
  </si>
  <si>
    <t xml:space="preserve">[DS]whisper 好自在 熊抱安睡42.5cm 量多夜用,7片,1包</t>
  </si>
  <si>
    <t xml:space="preserve">324773687001088</t>
  </si>
  <si>
    <t xml:space="preserve">4987176179258</t>
  </si>
  <si>
    <t xml:space="preserve">[DS]whisper 好自在 台灣公司貨 INFINITY液體衛生棉 超長夜用 34cm, 10片, 夜用型, 1盒</t>
  </si>
  <si>
    <t xml:space="preserve">522244896317753</t>
  </si>
  <si>
    <t xml:space="preserve">4987176373939</t>
  </si>
  <si>
    <t xml:space="preserve">Lenor 蘭諾 衣物芳香豆 雪松梔子花 補充包, 900ml, 1個</t>
  </si>
  <si>
    <t xml:space="preserve">(M)2025-09-17
(E)2027-09-16</t>
  </si>
  <si>
    <t xml:space="preserve">522244896416515</t>
  </si>
  <si>
    <t xml:space="preserve">4987176376886</t>
  </si>
  <si>
    <t xml:space="preserve">Crest</t>
  </si>
  <si>
    <t xml:space="preserve">Crest 多效淨白牙膏 清爽薄荷, 120g, 1個</t>
  </si>
  <si>
    <t xml:space="preserve">522244896416517</t>
  </si>
  <si>
    <t xml:space="preserve">4987176376893</t>
  </si>
  <si>
    <t xml:space="preserve">Crest 多效淨白牙膏 清新茉莉, 120g, 1個</t>
  </si>
  <si>
    <t xml:space="preserve">(M)2025-03-19
(E)2028-03-17</t>
  </si>
  <si>
    <t xml:space="preserve">13000000527597</t>
  </si>
  <si>
    <t xml:space="preserve">(M)-
(E)2027-06-16</t>
  </si>
  <si>
    <t xml:space="preserve">522244896317754</t>
  </si>
  <si>
    <t xml:space="preserve">4987176373885</t>
  </si>
  <si>
    <t xml:space="preserve">Lenor 蘭諾 衣物芳香豆 運動衣物抗臭 補充包, 880ml, 1個</t>
  </si>
  <si>
    <t xml:space="preserve">522244896317758</t>
  </si>
  <si>
    <t xml:space="preserve">4987176373854</t>
  </si>
  <si>
    <t xml:space="preserve">Lenor 蘭諾 衣物芳香豆 春暖晨露 補充包, 940ml, 1個</t>
  </si>
  <si>
    <t xml:space="preserve">13000000527302</t>
  </si>
  <si>
    <t xml:space="preserve">122903899111425</t>
  </si>
  <si>
    <t xml:space="preserve">4902430396073</t>
  </si>
  <si>
    <t xml:space="preserve">OLAY 歐蕾</t>
  </si>
  <si>
    <t xml:space="preserve">[DS]OLAY 歐蕾 多效防曬日霜, SPF15 PA++, 50g, 1罐</t>
  </si>
  <si>
    <t xml:space="preserve">MPO_260908_TWPBS-240219_S</t>
  </si>
  <si>
    <t xml:space="preserve">321532542828554</t>
  </si>
  <si>
    <t xml:space="preserve">4987176146700</t>
  </si>
  <si>
    <t xml:space="preserve">[DS]OLAY 歐蕾 台灣公司貨 多效防曬日霜優惠組, 1組</t>
  </si>
  <si>
    <t xml:space="preserve">13000000523345</t>
  </si>
  <si>
    <t xml:space="preserve">253710156414979</t>
  </si>
  <si>
    <t xml:space="preserve">4987176169952</t>
  </si>
  <si>
    <t xml:space="preserve">[DS]Gillette 吉列 Proglide 無感系列 刮鬍刀, 刀架 + 刀頭 2個, 1盒</t>
  </si>
  <si>
    <t xml:space="preserve">(M)-
(E)-</t>
  </si>
  <si>
    <t xml:space="preserve">253758785159168</t>
  </si>
  <si>
    <t xml:space="preserve">4902430789646</t>
  </si>
  <si>
    <t xml:space="preserve">[DS]Oral-B 深層潔淨牙線, 清涼潔淨, 40m, 1個</t>
  </si>
  <si>
    <t xml:space="preserve">522244895806722</t>
  </si>
  <si>
    <t xml:space="preserve">4987176314406</t>
  </si>
  <si>
    <t xml:space="preserve">Lenor 蘭諾 衣物芳香豆 清晨草木, 450ml, 1瓶</t>
  </si>
  <si>
    <t xml:space="preserve">522244896317756</t>
  </si>
  <si>
    <t xml:space="preserve">4987176373908</t>
  </si>
  <si>
    <t xml:space="preserve">Lenor 蘭諾 衣物芳香豆 淨白純棉 補充包, 940ml, 1個</t>
  </si>
  <si>
    <t xml:space="preserve">522244896442065</t>
  </si>
  <si>
    <t xml:space="preserve">4987176339898</t>
  </si>
  <si>
    <t xml:space="preserve">Bold 原廠公司貨 四合一洗衣膠囊 淡雅花香, 31個裝, 1套</t>
  </si>
  <si>
    <t xml:space="preserve">522244896468467</t>
  </si>
  <si>
    <t xml:space="preserve">4987176381262</t>
  </si>
  <si>
    <t xml:space="preserve">head &amp; shoulders 海倫仙度絲</t>
  </si>
  <si>
    <t xml:space="preserve">head&amp;shoulders 海倫仙度絲 泡沫洗髮慕絲 淨爽止癢型 雪松清茶, 360g, 1件</t>
  </si>
  <si>
    <t xml:space="preserve">522244896468533</t>
  </si>
  <si>
    <t xml:space="preserve">4987176381279</t>
  </si>
  <si>
    <t xml:space="preserve">head&amp;shoulders 海倫仙度絲 泡沫洗髮慕絲 控油蓬鬆型 清柚小蒼蘭, 360g, 1件</t>
  </si>
  <si>
    <t xml:space="preserve">13000000518856</t>
  </si>
  <si>
    <t xml:space="preserve">522244895786668</t>
  </si>
  <si>
    <t xml:space="preserve">4987176271624</t>
  </si>
  <si>
    <t xml:space="preserve">OLAY 歐蕾 台灣公司貨 滋潤保溼霜, 100g, 1罐</t>
  </si>
  <si>
    <t xml:space="preserve">MPO_260904_TWPBS-238997_S</t>
  </si>
  <si>
    <t xml:space="preserve">522244895786669</t>
  </si>
  <si>
    <t xml:space="preserve">4987176271617</t>
  </si>
  <si>
    <t xml:space="preserve">OLAY 歐蕾 台灣公司貨 滋潤保濕霜 無添加色素香料, 100g, 1罐</t>
  </si>
  <si>
    <t xml:space="preserve">13000000528569</t>
  </si>
  <si>
    <t xml:space="preserve">122903878139906</t>
  </si>
  <si>
    <t xml:space="preserve">4902430661898</t>
  </si>
  <si>
    <t xml:space="preserve">[DS]HAIR RECIPE 髪的食譜 蘋果生薑防斷修護洗髮露, 530ml, 1瓶</t>
  </si>
  <si>
    <t xml:space="preserve">Split_原訂單122903878139906</t>
  </si>
  <si>
    <t xml:space="preserve">123251770507265</t>
  </si>
  <si>
    <t xml:space="preserve">4902430113205</t>
  </si>
  <si>
    <t xml:space="preserve">[DS]febreze 風倍清 織物除菌消臭噴霧補充包, 高效除菌, 320ml, 1包</t>
  </si>
  <si>
    <t xml:space="preserve">Split_原訂單123251770507265</t>
  </si>
  <si>
    <t xml:space="preserve">522244896175852</t>
  </si>
  <si>
    <t xml:space="preserve">4987176340900</t>
  </si>
  <si>
    <t xml:space="preserve">ARIEL 原廠公司貨 抗菌洗衣精補充包 抗菌去漬型, 1690g, 1個</t>
  </si>
  <si>
    <t xml:space="preserve">Split_原訂單522244896175852</t>
  </si>
  <si>
    <t xml:space="preserve">522244896295326</t>
  </si>
  <si>
    <t xml:space="preserve">4987176372130</t>
  </si>
  <si>
    <t xml:space="preserve">[箱裝] whisper 好自在 無痕奢柔褲 內褲型, XL, 3片, 6包, 1箱</t>
  </si>
  <si>
    <t xml:space="preserve">Split_原訂單522244896295326</t>
  </si>
  <si>
    <t xml:space="preserve">Split_原訂單522244896317754</t>
  </si>
  <si>
    <t xml:space="preserve">522244896317759</t>
  </si>
  <si>
    <t xml:space="preserve">4987176373915</t>
  </si>
  <si>
    <t xml:space="preserve">Lenor 蘭諾 衣物芳香豆 潮濕天氣抗臭 補充包, 880ml, 1個</t>
  </si>
  <si>
    <t xml:space="preserve">Split_原訂單522244896317759</t>
  </si>
  <si>
    <t xml:space="preserve">522244896317760</t>
  </si>
  <si>
    <t xml:space="preserve">4987176373892</t>
  </si>
  <si>
    <t xml:space="preserve">Lenor 蘭諾 衣物芳香豆 甜柔麝香 補充包, 900ml, 1個</t>
  </si>
  <si>
    <t xml:space="preserve">Split_原訂單522244896317760</t>
  </si>
  <si>
    <t xml:space="preserve">13000000489046</t>
  </si>
  <si>
    <t xml:space="preserve">254097055760384</t>
  </si>
  <si>
    <t xml:space="preserve">4987176122933</t>
  </si>
  <si>
    <t xml:space="preserve">[DS]whisper 好自在 台灣公司貨 熊抱安睡425mm量多夜用衛生棉, 7片,2包,1組</t>
  </si>
  <si>
    <t xml:space="preserve">(M)-
(E)2028-03-10</t>
  </si>
  <si>
    <t xml:space="preserve">MPO_260825_MPO Application_Baby &amp; HPC</t>
  </si>
  <si>
    <t xml:space="preserve">495828028325888</t>
  </si>
  <si>
    <t xml:space="preserve">4987176272768</t>
  </si>
  <si>
    <t xml:space="preserve">Gillette 吉列 原廠公司貨 Proglide無感系列刮鬍刀頭, 1組, 4個</t>
  </si>
  <si>
    <t xml:space="preserve">(M)2025-03-12
(E)2028-03-10</t>
  </si>
  <si>
    <t xml:space="preserve">522244896175851</t>
  </si>
  <si>
    <t xml:space="preserve">4987176340856</t>
  </si>
  <si>
    <t xml:space="preserve">ARIEL 原廠公司貨 抗菌洗衣精補充包 室內晾衣型, 1690g, 1個</t>
  </si>
  <si>
    <t xml:space="preserve">(M)2025-09-10
(E)2027-09-09</t>
  </si>
  <si>
    <t xml:space="preserve">522244896294093</t>
  </si>
  <si>
    <t xml:space="preserve">6903148355954</t>
  </si>
  <si>
    <t xml:space="preserve">whisper 好自在 無痕早安褲 內褲型, M~L, 3片, 1個</t>
  </si>
  <si>
    <t xml:space="preserve">13000000487883</t>
  </si>
  <si>
    <t xml:space="preserve">412848148676608</t>
  </si>
  <si>
    <t xml:space="preserve">4987176132178</t>
  </si>
  <si>
    <t xml:space="preserve">[DS]Gillette 吉列 台灣公司貨 Labs 極光系列 刮鬍刀頭, 4個, 1盒</t>
  </si>
  <si>
    <t xml:space="preserve">13000000467992</t>
  </si>
  <si>
    <t xml:space="preserve">13000000429089</t>
  </si>
  <si>
    <t xml:space="preserve">(M)-
(E)2029-03-10</t>
  </si>
  <si>
    <t xml:space="preserve">13000000523750</t>
  </si>
  <si>
    <t xml:space="preserve">(M)-
(E)2029-03-17</t>
  </si>
  <si>
    <t xml:space="preserve">13000000520480</t>
  </si>
  <si>
    <t xml:space="preserve">123251799867410</t>
  </si>
  <si>
    <t xml:space="preserve">4710104000917</t>
  </si>
  <si>
    <t xml:space="preserve">0304043</t>
  </si>
  <si>
    <t xml:space="preserve">得意 捲筒式廚房紙巾, 70張, 6捲, 1袋</t>
  </si>
  <si>
    <t xml:space="preserve">包裝升級(舊料號0304022順轉)</t>
  </si>
  <si>
    <t xml:space="preserve">Split_原訂單13000000517367</t>
  </si>
  <si>
    <t xml:space="preserve">13000000498976</t>
  </si>
  <si>
    <t xml:space="preserve">13000000472918</t>
  </si>
  <si>
    <t xml:space="preserve">204081385668608</t>
  </si>
  <si>
    <t xml:space="preserve">4710104007213</t>
  </si>
  <si>
    <t xml:space="preserve">0302136</t>
  </si>
  <si>
    <t xml:space="preserve">[箱裝]得意 連續抽取式花紋衛生紙, 100張, 12包, 7袋</t>
  </si>
  <si>
    <t xml:space="preserve">控貨 //超材157</t>
  </si>
  <si>
    <t xml:space="preserve">Split_原訂單 13000000469899</t>
  </si>
  <si>
    <t xml:space="preserve">13000000532592</t>
  </si>
  <si>
    <t xml:space="preserve">(M)-
(E)2029-03-22</t>
  </si>
  <si>
    <t xml:space="preserve">13000000532578</t>
  </si>
  <si>
    <t xml:space="preserve">(M)-
(E)2029-03-24</t>
  </si>
  <si>
    <t xml:space="preserve">150853184897024</t>
  </si>
  <si>
    <t xml:space="preserve">4710104008333</t>
  </si>
  <si>
    <t xml:space="preserve">0102360停產</t>
  </si>
  <si>
    <t xml:space="preserve">五月花清膚柔潤抽取衛生紙, 100抽, 24包</t>
  </si>
  <si>
    <t xml:space="preserve">4/9-JC通知停產</t>
  </si>
  <si>
    <t xml:space="preserve">204080077029379</t>
  </si>
  <si>
    <t xml:space="preserve">4710104026658</t>
  </si>
  <si>
    <t xml:space="preserve">0104055</t>
  </si>
  <si>
    <t xml:space="preserve">[箱裝]五月花 厚棒廚房紙巾, 60張, 4捲, 4袋</t>
  </si>
  <si>
    <t xml:space="preserve">5/11-JC通知本品項已停產，不再生產=&gt;5/13通知-暫緩停產時程，預計會生產到9月，會少量生產供貨</t>
  </si>
  <si>
    <t xml:space="preserve">(M)-
(E)2028-03-24</t>
  </si>
  <si>
    <t xml:space="preserve">278375939653634</t>
  </si>
  <si>
    <t xml:space="preserve">4710104028362</t>
  </si>
  <si>
    <t xml:space="preserve">0304027</t>
  </si>
  <si>
    <t xml:space="preserve">[箱裝]得意 抽取式廚房紙巾 易手抽 22.8*21cm, 100抽, 3包, 8袋</t>
  </si>
  <si>
    <t xml:space="preserve">278377000845313</t>
  </si>
  <si>
    <t xml:space="preserve">4710104008340</t>
  </si>
  <si>
    <t xml:space="preserve">[箱裝]五月花清膚柔潤抽取衛生紙 24包, 100張, 3袋</t>
  </si>
  <si>
    <t xml:space="preserve">大型150
4/9-JC通知停產</t>
  </si>
  <si>
    <t xml:space="preserve">278400480526337</t>
  </si>
  <si>
    <t xml:space="preserve">4710104027723</t>
  </si>
  <si>
    <t xml:space="preserve">0106067暫不供貨</t>
  </si>
  <si>
    <t xml:space="preserve">[箱裝]五月花 舒敏厚棒袖珍包 8抽, 20包, 20袋</t>
  </si>
  <si>
    <t xml:space="preserve">8/25 PM通知暫停供貨</t>
  </si>
  <si>
    <t xml:space="preserve">296069023907840</t>
  </si>
  <si>
    <t xml:space="preserve">4710104028355</t>
  </si>
  <si>
    <t xml:space="preserve">得意 抽取式廚房紙巾 易手抽, 3包, 100張</t>
  </si>
  <si>
    <t xml:space="preserve">424759196106752</t>
  </si>
  <si>
    <t xml:space="preserve">4710908003947</t>
  </si>
  <si>
    <t xml:space="preserve">1021334</t>
  </si>
  <si>
    <t xml:space="preserve">ORANGE HOUSE 橘子工坊 天然濃縮制菌去味洗衣精, 1.5L, 1包</t>
  </si>
  <si>
    <t xml:space="preserve">485672146157568</t>
  </si>
  <si>
    <t xml:space="preserve">4712318595555</t>
  </si>
  <si>
    <t xml:space="preserve">[箱裝]橘子工坊 天然濃縮制菌雙酵洗衣精補充包, Y24, 1.5L, 6包, 1箱</t>
  </si>
  <si>
    <t xml:space="preserve">522244896162244</t>
  </si>
  <si>
    <t xml:space="preserve">04710908003954</t>
  </si>
  <si>
    <t xml:space="preserve">條碼有誤</t>
  </si>
  <si>
    <t xml:space="preserve">[箱裝]Orange House 橘子工坊 天然濃縮制菌去味洗衣精補充包, 1.5L, 6包</t>
  </si>
  <si>
    <t xml:space="preserve">(M)2025-03-26
(E)2028-03-24</t>
  </si>
  <si>
    <t xml:space="preserve">13000000532292</t>
  </si>
  <si>
    <t xml:space="preserve">(M)-
(E)2029-03-23</t>
  </si>
  <si>
    <t xml:space="preserve">278377952935937</t>
  </si>
  <si>
    <t xml:space="preserve">4710104007435</t>
  </si>
  <si>
    <t xml:space="preserve">0107033</t>
  </si>
  <si>
    <t xml:space="preserve">[箱裝]五月花 摺疊紙巾 擦手紙 功能版, 150張, 32包</t>
  </si>
  <si>
    <t xml:space="preserve">13000000532205</t>
  </si>
  <si>
    <t xml:space="preserve">255234416787457</t>
  </si>
  <si>
    <t xml:space="preserve">4001499944536</t>
  </si>
  <si>
    <t xml:space="preserve">Frosch溫和蘆薈洗碗精500ml</t>
  </si>
  <si>
    <t xml:space="preserve">(M)-
(E)2028-09-20</t>
  </si>
  <si>
    <t xml:space="preserve">13000000532151</t>
  </si>
  <si>
    <t xml:space="preserve">(M)-
(E)2028-03-22</t>
  </si>
  <si>
    <t xml:space="preserve">268242769641476</t>
  </si>
  <si>
    <t xml:space="preserve">4710104028706</t>
  </si>
  <si>
    <t xml:space="preserve">0104069停產</t>
  </si>
  <si>
    <t xml:space="preserve">五月花 厚棒廚房紙巾 大小張隨你撕 三層, 21.0 x 12.0cm, 112張, 4捲, 1袋</t>
  </si>
  <si>
    <t xml:space="preserve">7/23 PM通知停產-依剩餘庫存為主</t>
  </si>
  <si>
    <t xml:space="preserve">463122934513664</t>
  </si>
  <si>
    <t xml:space="preserve">4710908003145</t>
  </si>
  <si>
    <t xml:space="preserve">1023027</t>
  </si>
  <si>
    <t xml:space="preserve">橘子工坊變色泡泡洗手慕斯,350ml,1瓶</t>
  </si>
  <si>
    <t xml:space="preserve">522244896409434</t>
  </si>
  <si>
    <t xml:space="preserve">4710908004463</t>
  </si>
  <si>
    <t xml:space="preserve">1022268</t>
  </si>
  <si>
    <t xml:space="preserve">Orange House 橘子工坊 三合一酵素洗碗錠 56入, 10g, 1盒</t>
  </si>
  <si>
    <t xml:space="preserve">(M)2025-09-22
(E)2027-09-21</t>
  </si>
  <si>
    <t xml:space="preserve">13000000532138</t>
  </si>
  <si>
    <t xml:space="preserve">(M)2025-03-28
(E)2028-03-26</t>
  </si>
  <si>
    <t xml:space="preserve">13000000532028</t>
  </si>
  <si>
    <t xml:space="preserve">454175976570880</t>
  </si>
  <si>
    <t xml:space="preserve">4710908004265</t>
  </si>
  <si>
    <t xml:space="preserve">1021351暫不供貨</t>
  </si>
  <si>
    <t xml:space="preserve">Orange House 橘子工坊 天然制菌去味洗衣膠囊, 240g, 12顆, 1盒</t>
  </si>
  <si>
    <t xml:space="preserve">不供貨</t>
  </si>
  <si>
    <t xml:space="preserve">(M)2025-12-28
(E)2027-06-25</t>
  </si>
  <si>
    <t xml:space="preserve">507408245833728</t>
  </si>
  <si>
    <t xml:space="preserve">4710104027716</t>
  </si>
  <si>
    <t xml:space="preserve">五月花 舒敏厚棒袖珍包面紙, 21 x 19.5cm, 20包</t>
  </si>
  <si>
    <t xml:space="preserve">13000000524144</t>
  </si>
  <si>
    <t xml:space="preserve">13000000526215</t>
  </si>
  <si>
    <t xml:space="preserve">原EDD2026-09-14_Tip_system_Split_原訂單13000000517558</t>
  </si>
  <si>
    <t xml:space="preserve">13000000519949</t>
  </si>
  <si>
    <t xml:space="preserve">154005632139266</t>
  </si>
  <si>
    <t xml:space="preserve">4718201219317</t>
  </si>
  <si>
    <t xml:space="preserve">M10266385</t>
  </si>
  <si>
    <t xml:space="preserve">eclipse 易口舒 無糖薄荷錠, 清爽蜜桃口味, 31g, 8個</t>
  </si>
  <si>
    <t xml:space="preserve">MPO_20260907_oos recovery</t>
  </si>
  <si>
    <t xml:space="preserve">154006034825216</t>
  </si>
  <si>
    <t xml:space="preserve">4710716339917</t>
  </si>
  <si>
    <t xml:space="preserve">M10266356</t>
  </si>
  <si>
    <t xml:space="preserve">[組出] eclipse 易口舒 無糖薄荷錠, 繽紛野莓口味, 31g, 8入,1盒</t>
  </si>
  <si>
    <t xml:space="preserve">312118150643712</t>
  </si>
  <si>
    <t xml:space="preserve">4718201215708</t>
  </si>
  <si>
    <t xml:space="preserve">M10280224</t>
  </si>
  <si>
    <t xml:space="preserve">[組出] Extra 益齒達 潔淨無糖口香糖 清檸薄荷口味, 28g, 5包</t>
  </si>
  <si>
    <t xml:space="preserve">13000000517462</t>
  </si>
  <si>
    <t xml:space="preserve">13000000498962</t>
  </si>
  <si>
    <t xml:space="preserve">312120478498816</t>
  </si>
  <si>
    <t xml:space="preserve">4718201213773</t>
  </si>
  <si>
    <t xml:space="preserve">M60019808</t>
  </si>
  <si>
    <t xml:space="preserve">[組出] Airwaves 超涼無糖口香糖 超涼薄荷口味, 28g, 5包</t>
  </si>
  <si>
    <t xml:space="preserve">M10254049</t>
  </si>
  <si>
    <t xml:space="preserve">13000000527653</t>
  </si>
  <si>
    <t xml:space="preserve">522244895850726</t>
  </si>
  <si>
    <t xml:space="preserve">14987176337082</t>
  </si>
  <si>
    <t xml:space="preserve">[箱裝]Pampers 幫寶適 原廠公司貨 清新幫黏貼型尿布, M, 6~11kg, 216片</t>
  </si>
  <si>
    <t xml:space="preserve">13000000527646</t>
  </si>
  <si>
    <t xml:space="preserve">522244895843035</t>
  </si>
  <si>
    <t xml:space="preserve">4987176284655</t>
  </si>
  <si>
    <t xml:space="preserve">ARIEL 極淨進化 4D抗菌洗衣膠囊, 73顆, 1袋</t>
  </si>
  <si>
    <t xml:space="preserve">NS</t>
  </si>
  <si>
    <t xml:space="preserve">13000000457755</t>
  </si>
  <si>
    <t xml:space="preserve">(M)-
(E)2027-09-08</t>
  </si>
  <si>
    <t xml:space="preserve">MPO_260814_Unstable_ips now fail</t>
  </si>
  <si>
    <t xml:space="preserve">13000000457199</t>
  </si>
  <si>
    <t xml:space="preserve">268893394255874</t>
  </si>
  <si>
    <t xml:space="preserve">4902397858461</t>
  </si>
  <si>
    <t xml:space="preserve">M10252516</t>
  </si>
  <si>
    <t xml:space="preserve">[箱裝] Cesar 西莎 自然素材 狗罐, 陽光野菜嫩火雞口味, 85g, 28罐</t>
  </si>
  <si>
    <t xml:space="preserve">MPO_0814</t>
  </si>
  <si>
    <t xml:space="preserve">268895390760961</t>
  </si>
  <si>
    <t xml:space="preserve">4902397861409</t>
  </si>
  <si>
    <t xml:space="preserve">M10252568</t>
  </si>
  <si>
    <t xml:space="preserve">[箱裝] Cesar 西莎 自然素材餐盒, 元氣活蔬牧場羊口味, 85g, 28罐</t>
  </si>
  <si>
    <t xml:space="preserve">372990306877440</t>
  </si>
  <si>
    <t xml:space="preserve">0642863041242</t>
  </si>
  <si>
    <t xml:space="preserve">M10284670</t>
  </si>
  <si>
    <t xml:space="preserve">Greenies 健綠 潔牙骨, 原味, 7~11kg 小型犬專用, 12oz, 1包</t>
  </si>
  <si>
    <t xml:space="preserve">(M)-
(E)2027-06-08</t>
  </si>
  <si>
    <t xml:space="preserve">401926088753152</t>
  </si>
  <si>
    <t xml:space="preserve">18853301001530</t>
  </si>
  <si>
    <t xml:space="preserve">M60003637</t>
  </si>
  <si>
    <t xml:space="preserve">[箱裝]Temptations 喵愛餡 貓點心, 海鮮百匯口味, 75g, 12包</t>
  </si>
  <si>
    <t xml:space="preserve">M10288364</t>
  </si>
  <si>
    <t xml:space="preserve">(M)2025-12-09
(E)2027-06-09</t>
  </si>
  <si>
    <t xml:space="preserve">522244896003804</t>
  </si>
  <si>
    <t xml:space="preserve">18853301008027</t>
  </si>
  <si>
    <t xml:space="preserve">M60003464</t>
  </si>
  <si>
    <t xml:space="preserve">[箱裝] Temptations 喵愛餡 貓點心 三重奏, 雞肉 + 鮭魚 + 起司, 75g, 12包, 1箱</t>
  </si>
  <si>
    <t xml:space="preserve">(M)2025-12-11
(E)2027-06-08</t>
  </si>
  <si>
    <t xml:space="preserve">522244896319127</t>
  </si>
  <si>
    <t xml:space="preserve">4714686202196</t>
  </si>
  <si>
    <t xml:space="preserve">M60023675</t>
  </si>
  <si>
    <t xml:space="preserve">Cesar 西莎 真饌燉肉餐盒 綜合口味(起司野菜牛 + 野菜嫩雞 + 野菜牛 + 野菜牛拌麵), 100g, 6入, 1盒</t>
  </si>
  <si>
    <t xml:space="preserve">(M)-
(E)2027-03-10</t>
  </si>
  <si>
    <t xml:space="preserve">13000000504351</t>
  </si>
  <si>
    <t xml:space="preserve">(M)2025-09-09
(E)2027-09-08</t>
  </si>
  <si>
    <t xml:space="preserve">13000000500774</t>
  </si>
  <si>
    <t xml:space="preserve">(M)-
(E)2029-03-09</t>
  </si>
  <si>
    <t xml:space="preserve">Split_原訂單13000000429088</t>
  </si>
  <si>
    <t xml:space="preserve">13000000500370</t>
  </si>
  <si>
    <t xml:space="preserve">原EDD2026-09-07_Tip_system_Split_原訂單13000000496899</t>
  </si>
  <si>
    <t xml:space="preserve">(M)2025-09-09
(E)2027-09-09</t>
  </si>
  <si>
    <t xml:space="preserve">(M)-
(E)2027-09-09</t>
  </si>
  <si>
    <t xml:space="preserve">原EDD2026-09-07_Tip_system_Split_原訂單13000000496610</t>
  </si>
  <si>
    <t xml:space="preserve">(M)-
(E)2027-09-03</t>
  </si>
  <si>
    <t xml:space="preserve">522244896202337</t>
  </si>
  <si>
    <t xml:space="preserve">14710716334322</t>
  </si>
  <si>
    <t xml:space="preserve">M60020634</t>
  </si>
  <si>
    <t xml:space="preserve">[箱裝]Airwaves 超涼無糖口香糖 冰釀葡萄口味, 28g, 180包</t>
  </si>
  <si>
    <t xml:space="preserve">M10254020</t>
  </si>
  <si>
    <t xml:space="preserve">(M)-
(E)2027-04-15</t>
  </si>
  <si>
    <t xml:space="preserve">522244896212773</t>
  </si>
  <si>
    <t xml:space="preserve">14710716336913</t>
  </si>
  <si>
    <t xml:space="preserve">M10274122</t>
  </si>
  <si>
    <t xml:space="preserve">Skittles 彩虹糖</t>
  </si>
  <si>
    <t xml:space="preserve">[箱裝]Skittles 彩虹糖量販包, 混合水果口味, 135g, 24袋</t>
  </si>
  <si>
    <t xml:space="preserve">13000000500288</t>
  </si>
  <si>
    <t xml:space="preserve">原EDD2026-09-09_Tip_system_Split_原訂單13000000484078</t>
  </si>
  <si>
    <t xml:space="preserve">334483194626051</t>
  </si>
  <si>
    <t xml:space="preserve">19334214023929</t>
  </si>
  <si>
    <t xml:space="preserve">M60018007</t>
  </si>
  <si>
    <t xml:space="preserve">[箱裝]Sheba 希寶 金罐, 白身鮪魚吞拿魚及嫩雞(湯汁), 85g, 24罐, 1箱</t>
  </si>
  <si>
    <t xml:space="preserve">M10201233-1</t>
  </si>
  <si>
    <t xml:space="preserve">原EDD2026-09-09_Tip_system_Split_原訂單13000000483868</t>
  </si>
  <si>
    <t xml:space="preserve">522244896206397</t>
  </si>
  <si>
    <t xml:space="preserve">4902397848097</t>
  </si>
  <si>
    <t xml:space="preserve">M10265746</t>
  </si>
  <si>
    <t xml:space="preserve">[箱裝]Sheba 希寶 日式鮮饌包 貓副食餐包 12包, 海陸總匯 鮪魚 + 雞肉, 420g, 8盒</t>
  </si>
  <si>
    <t xml:space="preserve">原EDD2026-09-09_Tip_system_shufflefail_snop_reque_Split_原訂單13000000486463</t>
  </si>
  <si>
    <t xml:space="preserve">522244896212816</t>
  </si>
  <si>
    <t xml:space="preserve">14714686004018</t>
  </si>
  <si>
    <t xml:space="preserve">[箱裝]DOUBLEMINT 青箭 口香糖 分享包 17片, 12條, 15組</t>
  </si>
  <si>
    <t xml:space="preserve">522244896234364</t>
  </si>
  <si>
    <t xml:space="preserve">18853301550076</t>
  </si>
  <si>
    <t xml:space="preserve">M60011794</t>
  </si>
  <si>
    <t xml:space="preserve">[箱裝]whiskas 偉嘉 妙鮮包, 80g, 鯖魚及鮭魚, 24個</t>
  </si>
  <si>
    <t xml:space="preserve">原EDD2026-09-09_MPO_260826_TWPBS-234948_Split_原訂單13000000489522</t>
  </si>
  <si>
    <t xml:space="preserve">13000000500287</t>
  </si>
  <si>
    <t xml:space="preserve">13000000496899</t>
  </si>
  <si>
    <t xml:space="preserve">13000000496610</t>
  </si>
  <si>
    <t xml:space="preserve">(M)-
(E)2027-06-05</t>
  </si>
  <si>
    <t xml:space="preserve">13000000495900</t>
  </si>
  <si>
    <t xml:space="preserve">13000000493652</t>
  </si>
  <si>
    <t xml:space="preserve">522244896390333</t>
  </si>
  <si>
    <t xml:space="preserve">4714686201984</t>
  </si>
  <si>
    <t xml:space="preserve">M60017761</t>
  </si>
  <si>
    <t xml:space="preserve">Extra 益齒達 潔淨無糖口香糖 清甜水蜜桃, 62g, 1個</t>
  </si>
  <si>
    <t xml:space="preserve">MPO_20260827_oos recovery</t>
  </si>
  <si>
    <t xml:space="preserve">13000000493534</t>
  </si>
  <si>
    <t xml:space="preserve">263070647549959</t>
  </si>
  <si>
    <t xml:space="preserve">4718201213735</t>
  </si>
  <si>
    <t xml:space="preserve">M10266398</t>
  </si>
  <si>
    <t xml:space="preserve">[組出] eclipse 易口舒 無糖薄荷錠, 沁甜西瓜口味, 30g, 8盒</t>
  </si>
  <si>
    <t xml:space="preserve">263075525525506</t>
  </si>
  <si>
    <t xml:space="preserve">4710716337289</t>
  </si>
  <si>
    <t xml:space="preserve">M60019116</t>
  </si>
  <si>
    <t xml:space="preserve">[組出] Extra 益齒達 無糖口香糖 香濃密瓜, 62g, 10包</t>
  </si>
  <si>
    <t xml:space="preserve">M10280325</t>
  </si>
  <si>
    <t xml:space="preserve">488479171526657</t>
  </si>
  <si>
    <t xml:space="preserve">4718201217122</t>
  </si>
  <si>
    <t xml:space="preserve">M10280193</t>
  </si>
  <si>
    <t xml:space="preserve">[組出] Extra 益齒達 無糖口香糖, 青蘋萊姆口味, 28g, 10包</t>
  </si>
  <si>
    <t xml:space="preserve">(M)2026-04-16
(E)2027-04-15</t>
  </si>
  <si>
    <t xml:space="preserve">13000000493306</t>
  </si>
  <si>
    <t xml:space="preserve">原EDD2026-09-01_MPO_30dGAP_0824_Split_原訂單13000000481036</t>
  </si>
  <si>
    <t xml:space="preserve">13000000493226</t>
  </si>
  <si>
    <t xml:space="preserve">522244895972651</t>
  </si>
  <si>
    <t xml:space="preserve">Pampers 幫寶適 原廠公司貨 清新幫黏貼型紙尿褲/尿布, S, 4~8kg, 66片</t>
  </si>
  <si>
    <t xml:space="preserve">(M)2025-03-11
(E)2028-03-09</t>
  </si>
  <si>
    <t xml:space="preserve">MPO_260826_MPO Application_Baby &amp; HPC</t>
  </si>
  <si>
    <t xml:space="preserve">13000000493029</t>
  </si>
  <si>
    <t xml:space="preserve">435649261797376</t>
  </si>
  <si>
    <t xml:space="preserve">14987176232875</t>
  </si>
  <si>
    <t xml:space="preserve">[DS][箱裝]Pampers 幫寶適 原廠公司貨 CP值之選清新幫拉拉褲/尿布, XXL, 15kg以上, 104片</t>
  </si>
  <si>
    <t xml:space="preserve">435649261830144</t>
  </si>
  <si>
    <t xml:space="preserve">14987176232882</t>
  </si>
  <si>
    <t xml:space="preserve">[DS][箱裝]Pampers 幫寶適 原廠公司貨 CP值之選清新幫拉拉褲/尿布, L, 9-14kg, 168片</t>
  </si>
  <si>
    <t xml:space="preserve">435649261846529</t>
  </si>
  <si>
    <t xml:space="preserve">14987176232844</t>
  </si>
  <si>
    <t xml:space="preserve">[DS][箱裝]Pampers 幫寶適 原廠公司貨 CP值之選清新幫拉拉褲/尿布, XXXL, 17kg以上, 88片</t>
  </si>
  <si>
    <t xml:space="preserve">435649261846530</t>
  </si>
  <si>
    <t xml:space="preserve">14987176232899</t>
  </si>
  <si>
    <t xml:space="preserve">[DS][箱裝]Pampers 幫寶適 原廠公司貨 CP值之選清新幫拉拉褲/尿布, XL, 12-17kg, 152片</t>
  </si>
  <si>
    <t xml:space="preserve">13000000489559</t>
  </si>
  <si>
    <t xml:space="preserve">MPO_260826_TWPBS-234948</t>
  </si>
  <si>
    <t xml:space="preserve">522244896202553</t>
  </si>
  <si>
    <t xml:space="preserve">19310022715409</t>
  </si>
  <si>
    <t xml:space="preserve">[箱裝]whiskas 偉嘉 貓乾糧, 鮪魚(吞拿魚)總匯口味, 1歲以上成貓, 1.2kg, 6袋</t>
  </si>
  <si>
    <t xml:space="preserve">13000000489522</t>
  </si>
  <si>
    <t xml:space="preserve">425180400664576</t>
  </si>
  <si>
    <t xml:space="preserve">4714686009986</t>
  </si>
  <si>
    <t xml:space="preserve">M10207726</t>
  </si>
  <si>
    <t xml:space="preserve">[組出] Sheba 希寶 誘惑泥 貓肉泥, 雞肉&amp;雞肉 + 白身魚, 48g, 6袋</t>
  </si>
  <si>
    <t xml:space="preserve">522244896407019</t>
  </si>
  <si>
    <t xml:space="preserve">4902397865568</t>
  </si>
  <si>
    <t xml:space="preserve">M60003196</t>
  </si>
  <si>
    <t xml:space="preserve">Sheba 希寶 誘惑泥 貓肉泥, 12g, 海鮮綜合口味, 55個</t>
  </si>
  <si>
    <t xml:space="preserve">13000000489180</t>
  </si>
  <si>
    <t xml:space="preserve">13000000487351</t>
  </si>
  <si>
    <t xml:space="preserve">13000000486463</t>
  </si>
  <si>
    <t xml:space="preserve">13000000484537</t>
  </si>
  <si>
    <t xml:space="preserve">13000000484078</t>
  </si>
  <si>
    <t xml:space="preserve">13000000484060</t>
  </si>
  <si>
    <t xml:space="preserve">13000000483868</t>
  </si>
  <si>
    <t xml:space="preserve">402654945558528</t>
  </si>
  <si>
    <t xml:space="preserve">4718201216293</t>
  </si>
  <si>
    <t xml:space="preserve">M10246885</t>
  </si>
  <si>
    <t xml:space="preserve">[組出] Airwaves 超涼薄荷錠, 蜂蜜檸檬口味, 24.3g, 8盒</t>
  </si>
  <si>
    <t xml:space="preserve">13000000481036</t>
  </si>
  <si>
    <t xml:space="preserve">MPO_30dGAP_0824</t>
  </si>
  <si>
    <t xml:space="preserve">522244896002328</t>
  </si>
  <si>
    <t xml:space="preserve">18853301008102</t>
  </si>
  <si>
    <t xml:space="preserve">M60003329</t>
  </si>
  <si>
    <t xml:space="preserve">[箱裝] Temptations 喵愛餡 貓點心 三重奏, 貓薄荷 + 嫩雞及起司, 75g, 12包, 1箱</t>
  </si>
  <si>
    <t xml:space="preserve">13000000472915</t>
  </si>
  <si>
    <t xml:space="preserve">原EDD2026-09-09_MPO_AutoPO_TopUp_60d_Split_原訂單13000000459729</t>
  </si>
  <si>
    <t xml:space="preserve">原EDD2026-09-09_MPO_0814_Split_原訂單13000000457199&amp;原EDD2026-09-09_MPO_AutoPO_TopUp_60d_Split_原訂單13000000459856</t>
  </si>
  <si>
    <t xml:space="preserve">522244896212088</t>
  </si>
  <si>
    <t xml:space="preserve">19310022715508</t>
  </si>
  <si>
    <t xml:space="preserve">[箱裝]whiskas 偉嘉 貓乾糧, 海洋魚類, 1歲以上成貓, 1.2kg, 6袋</t>
  </si>
  <si>
    <t xml:space="preserve">522244896212827</t>
  </si>
  <si>
    <t xml:space="preserve">18853301400111</t>
  </si>
  <si>
    <t xml:space="preserve">[箱裝]whiskas 偉嘉 成貓 化毛配方 乾飼料, 雞肉 + 鮪魚(吞拿魚)口味, 1歲以上, 1.1kg, 6袋</t>
  </si>
  <si>
    <t xml:space="preserve">13000000472908</t>
  </si>
  <si>
    <t xml:space="preserve">123251590152199</t>
  </si>
  <si>
    <t xml:space="preserve">4710104020267</t>
  </si>
  <si>
    <t xml:space="preserve">0102388</t>
  </si>
  <si>
    <t xml:space="preserve">五月花頂級蓬厚柔三層抽取衛生紙100抽x24包-玫瑰果油</t>
  </si>
  <si>
    <t xml:space="preserve">舊料號0102371/0102379順轉</t>
  </si>
  <si>
    <t xml:space="preserve">13000000469791</t>
  </si>
  <si>
    <t xml:space="preserve">(M)-
(E)2028-03-09</t>
  </si>
  <si>
    <t xml:space="preserve">301949010264064</t>
  </si>
  <si>
    <t xml:space="preserve">4710908003176</t>
  </si>
  <si>
    <t xml:space="preserve">1021344</t>
  </si>
  <si>
    <t xml:space="preserve">ORANGE HOUSE 橘子工坊 衣物洗衣膠囊20g, 1盒, 22顆</t>
  </si>
  <si>
    <t xml:space="preserve">423373003751424</t>
  </si>
  <si>
    <t xml:space="preserve">4710908004203</t>
  </si>
  <si>
    <t xml:space="preserve">1021340</t>
  </si>
  <si>
    <t xml:space="preserve">ORANGE HOUSE 橘子工坊 天然濃縮制菌低敏洗衣精, 1.8L, 1瓶</t>
  </si>
  <si>
    <t xml:space="preserve">13000000461253</t>
  </si>
  <si>
    <t xml:space="preserve">154005632139264</t>
  </si>
  <si>
    <t xml:space="preserve">4710716339245</t>
  </si>
  <si>
    <t xml:space="preserve">M10266388</t>
  </si>
  <si>
    <t xml:space="preserve">[組出] eclipse 易口舒 無糖薄荷錠, 勁爽薄荷口味, 31g, 8盒</t>
  </si>
  <si>
    <t xml:space="preserve">MPO_20260817_oos recovery</t>
  </si>
  <si>
    <t xml:space="preserve">154006030630915</t>
  </si>
  <si>
    <t xml:space="preserve">9300613109567</t>
  </si>
  <si>
    <t xml:space="preserve">eclipse 易口舒 無糖薄荷錠, 勁爽薄荷口味, 150g, 220粒, 1袋</t>
  </si>
  <si>
    <t xml:space="preserve">263549867769858</t>
  </si>
  <si>
    <t xml:space="preserve">0022000167620</t>
  </si>
  <si>
    <t xml:space="preserve">M10266407</t>
  </si>
  <si>
    <t xml:space="preserve">[組出] DOUBLEMINT 青箭 口香糖 7片, 21g, 20條</t>
  </si>
  <si>
    <t xml:space="preserve">13000000459794</t>
  </si>
  <si>
    <t xml:space="preserve">153743853076481</t>
  </si>
  <si>
    <t xml:space="preserve">8853301400145</t>
  </si>
  <si>
    <t xml:space="preserve">M10273709</t>
  </si>
  <si>
    <t xml:space="preserve">whiskas 偉嘉 成貓 乾飼料, 海洋魚類口味, 1歲以上成貓, 7kg, 1袋</t>
  </si>
  <si>
    <t xml:space="preserve">MPO_AutoPO_TopUp_60d</t>
  </si>
  <si>
    <t xml:space="preserve">13000000459729</t>
  </si>
  <si>
    <t xml:space="preserve">172206982119426</t>
  </si>
  <si>
    <t xml:space="preserve">8853301143981</t>
  </si>
  <si>
    <t xml:space="preserve">M10274661</t>
  </si>
  <si>
    <t xml:space="preserve">whiskas 偉嘉 貓乾糧, 鮪魚 + 雞肉, 1歲以上室內貓, 1.1kg, 1袋</t>
  </si>
  <si>
    <t xml:space="preserve">425180396453888</t>
  </si>
  <si>
    <t xml:space="preserve">4714686009979</t>
  </si>
  <si>
    <t xml:space="preserve">M10207725</t>
  </si>
  <si>
    <t xml:space="preserve">[組出] Sheba 希寶 誘惑泥 貓肉泥, 鰹魚&amp;鰹魚 + 鮭魚, 48g, 6袋</t>
  </si>
  <si>
    <t xml:space="preserve">425180396486656</t>
  </si>
  <si>
    <t xml:space="preserve">4714686009962</t>
  </si>
  <si>
    <t xml:space="preserve">M10207724</t>
  </si>
  <si>
    <t xml:space="preserve">[組出] Sheba 希寶 誘惑泥 貓肉泥, 鮪魚&amp;鮪魚 + 海鮮, 48g, 6袋</t>
  </si>
  <si>
    <t xml:space="preserve">13000000459586</t>
  </si>
  <si>
    <t xml:space="preserve">13000000459366</t>
  </si>
  <si>
    <t xml:space="preserve">153740686344193</t>
  </si>
  <si>
    <t xml:space="preserve">4714686007685</t>
  </si>
  <si>
    <t xml:space="preserve">M10279577</t>
  </si>
  <si>
    <t xml:space="preserve">[箱裝] Cesar 西莎 精緻餐盒, 雞肉口味, 100g, 24罐</t>
  </si>
  <si>
    <t xml:space="preserve">153741177110528</t>
  </si>
  <si>
    <t xml:space="preserve">4714686007661</t>
  </si>
  <si>
    <t xml:space="preserve">M10279581</t>
  </si>
  <si>
    <t xml:space="preserve">[箱裝] Cesar 西莎 精緻餐盒, 牛肉及肝口味, 100g, 24罐</t>
  </si>
  <si>
    <t xml:space="preserve">13000000501552</t>
  </si>
  <si>
    <t xml:space="preserve">(M)2025-03-10
(E)2028-03-08</t>
  </si>
  <si>
    <t xml:space="preserve">MPO_260831_原訂單13000000472578</t>
  </si>
  <si>
    <t xml:space="preserve">522244895850724</t>
  </si>
  <si>
    <t xml:space="preserve">14987176337075</t>
  </si>
  <si>
    <t xml:space="preserve">4987176337078</t>
  </si>
  <si>
    <t xml:space="preserve">[箱裝]Pampers 幫寶適 原廠公司貨 清新幫褲型尿布, M, 6~11kg, 200片</t>
  </si>
  <si>
    <t xml:space="preserve">MPO_260831_原訂單13000000472577</t>
  </si>
  <si>
    <t xml:space="preserve">13000000499950</t>
  </si>
  <si>
    <t xml:space="preserve">518994700173312</t>
  </si>
  <si>
    <t xml:space="preserve">6903148356999</t>
  </si>
  <si>
    <t xml:space="preserve">[DS]whisper 好自在 台灣公司貨 Air Dry 雲枕瞬吸衛生棉 日用量大, 28cm, 10片, 1包</t>
  </si>
  <si>
    <t xml:space="preserve">MPO_260828_MPO Application_Baby &amp; HPC</t>
  </si>
  <si>
    <t xml:space="preserve">13000000493984</t>
  </si>
  <si>
    <t xml:space="preserve">149768240054272</t>
  </si>
  <si>
    <t xml:space="preserve">6903148182383</t>
  </si>
  <si>
    <t xml:space="preserve">[DS]whisper 好自在 台灣公司貨 隱型透氣護墊, 自然無香, 40片, 1包</t>
  </si>
  <si>
    <t xml:space="preserve">(M)-
(E)2028-03-08</t>
  </si>
  <si>
    <t xml:space="preserve">MPO_260827_P&amp;G</t>
  </si>
  <si>
    <t xml:space="preserve">253709195886592</t>
  </si>
  <si>
    <t xml:space="preserve">4987176176172</t>
  </si>
  <si>
    <t xml:space="preserve">14987176176172</t>
  </si>
  <si>
    <t xml:space="preserve">[DS]Gillette 吉列 Fusion鋒隱系列刮鬍刀頭, 4個, 1組</t>
  </si>
  <si>
    <t xml:space="preserve">253709195886593</t>
  </si>
  <si>
    <t xml:space="preserve">4987176169914</t>
  </si>
  <si>
    <t xml:space="preserve">[DS]Gillette 吉列 台灣公司貨 Fusion鋒隱系列刮鬍刀頭, 8入,1組</t>
  </si>
  <si>
    <t xml:space="preserve">253710156414978</t>
  </si>
  <si>
    <t xml:space="preserve">4987176169921</t>
  </si>
  <si>
    <t xml:space="preserve">[DS]Gillette 吉列 台灣公司貨 Fusion 鋒隱系列 刮鬍刀, 刀架*1+刀頭*2, 1組</t>
  </si>
  <si>
    <t xml:space="preserve">253728745553922</t>
  </si>
  <si>
    <t xml:space="preserve">4902430826846</t>
  </si>
  <si>
    <t xml:space="preserve">Oral-B 歐樂B 抗敏護齦牙膏 極速抗敏, 海洋薄荷, 90g, 1條</t>
  </si>
  <si>
    <t xml:space="preserve">522244896175854</t>
  </si>
  <si>
    <t xml:space="preserve">ARIEL 原廠公司貨 抗菌洗衣精補充包 自然微香型, 1690g, 1個</t>
  </si>
  <si>
    <t xml:space="preserve">(M)2025-09-08
(E)2027-09-07</t>
  </si>
  <si>
    <t xml:space="preserve">522244896175857</t>
  </si>
  <si>
    <t xml:space="preserve">4987176340870</t>
  </si>
  <si>
    <t xml:space="preserve">ARIEL 原廠公司貨 抗菌洗衣精補充包 高效除蟎, 1690g, 1個</t>
  </si>
  <si>
    <t xml:space="preserve">522244896295342</t>
  </si>
  <si>
    <t xml:space="preserve">4987176372321</t>
  </si>
  <si>
    <t xml:space="preserve">whisper 好自在 熊抱安睡褲 XL, 夜用, 8片, 3包</t>
  </si>
  <si>
    <t xml:space="preserve">13000000493982</t>
  </si>
  <si>
    <t xml:space="preserve">522244896295310</t>
  </si>
  <si>
    <t xml:space="preserve">4987176372192</t>
  </si>
  <si>
    <t xml:space="preserve">whisper 好自在 無痕奢柔褲 內褲型, M~L, 3片, 6包</t>
  </si>
  <si>
    <t xml:space="preserve">13000000492785</t>
  </si>
  <si>
    <t xml:space="preserve">122903488086024</t>
  </si>
  <si>
    <t xml:space="preserve">4902430056496</t>
  </si>
  <si>
    <t xml:space="preserve">[DS]OLAY 歐蕾 活膚菁華霜, 50g, 1罐</t>
  </si>
  <si>
    <t xml:space="preserve">MPO_260826_TWPBS-234869_S</t>
  </si>
  <si>
    <t xml:space="preserve">122903701962810</t>
  </si>
  <si>
    <t xml:space="preserve">4902430396059</t>
  </si>
  <si>
    <t xml:space="preserve">[DS]OLAY 歐蕾 多元修護霜無香料配方, 50g , 1入</t>
  </si>
  <si>
    <t xml:space="preserve">(M)-
(E)2028-02-29</t>
  </si>
  <si>
    <t xml:space="preserve">122903777492994</t>
  </si>
  <si>
    <t xml:space="preserve">4902430509695</t>
  </si>
  <si>
    <t xml:space="preserve">[DS]OLAY 歐蕾 長效保濕凝露, 50g, 1罐</t>
  </si>
  <si>
    <t xml:space="preserve">276162269921280</t>
  </si>
  <si>
    <t xml:space="preserve">4902430396066</t>
  </si>
  <si>
    <t xml:space="preserve">[DS]OLAY 歐蕾 多元修護晚霜(6066), 50g, 1罐</t>
  </si>
  <si>
    <t xml:space="preserve">276162269921283</t>
  </si>
  <si>
    <t xml:space="preserve">4987176106438</t>
  </si>
  <si>
    <t xml:space="preserve">[DS]OLAY 歐蕾水感透白光曜精華水, 150ml, 1瓶</t>
  </si>
  <si>
    <t xml:space="preserve">445009312546816</t>
  </si>
  <si>
    <t xml:space="preserve">4987176250353</t>
  </si>
  <si>
    <t xml:space="preserve">[DS]OLAY 歐蕾 台灣公司貨 水感透白面膜, 5片, 1盒</t>
  </si>
  <si>
    <t xml:space="preserve">522244896393811</t>
  </si>
  <si>
    <t xml:space="preserve">4987176357526</t>
  </si>
  <si>
    <t xml:space="preserve">OLAY 歐蕾 台灣公司貨 胜肽專研密集奢護面膜, 5入, 1組</t>
  </si>
  <si>
    <t xml:space="preserve">13000000489767</t>
  </si>
  <si>
    <t xml:space="preserve">(M)-
(E)2029-03-08</t>
  </si>
  <si>
    <t xml:space="preserve">Split_原訂單  13000000472902</t>
  </si>
  <si>
    <t xml:space="preserve">13000000469821</t>
  </si>
  <si>
    <t xml:space="preserve">123251321683979</t>
  </si>
  <si>
    <t xml:space="preserve">4710104106107</t>
  </si>
  <si>
    <t xml:space="preserve">0104083</t>
  </si>
  <si>
    <t xml:space="preserve">五月花超強韌廚房紙巾60張,6捲,1袋</t>
  </si>
  <si>
    <t xml:space="preserve">包裝升級(舊料號0104047順轉)</t>
  </si>
  <si>
    <t xml:space="preserve">13000000497332</t>
  </si>
  <si>
    <t xml:space="preserve">522244896164809</t>
  </si>
  <si>
    <t xml:space="preserve">14718201213732</t>
  </si>
  <si>
    <t xml:space="preserve">M60019817</t>
  </si>
  <si>
    <t xml:space="preserve">[箱裝]Airwaves Super 極酷嗆涼無糖口香糖 極酷薄荷口味, 28g, 150包</t>
  </si>
  <si>
    <t xml:space="preserve">M10254079</t>
  </si>
  <si>
    <t xml:space="preserve">(M)-
(E)2027-04-20</t>
  </si>
  <si>
    <t xml:space="preserve">13000000481035</t>
  </si>
  <si>
    <t xml:space="preserve">522244896407069</t>
  </si>
  <si>
    <t xml:space="preserve">14902397865565</t>
  </si>
  <si>
    <t xml:space="preserve">[箱裝]Sheba 希寶 誘惑泥 貓肉泥, 海鮮綜合口味組合 鮪魚&amp;鰹魚 5種精選口味, 12g, 880條</t>
  </si>
  <si>
    <t xml:space="preserve">(M)2025-09-14
(E)2027-09-13</t>
  </si>
  <si>
    <t xml:space="preserve">13000000459691</t>
  </si>
  <si>
    <t xml:space="preserve">(M)-
(E)2027-09-13</t>
  </si>
  <si>
    <t xml:space="preserve">522244896202019</t>
  </si>
  <si>
    <t xml:space="preserve">19334214022830</t>
  </si>
  <si>
    <t xml:space="preserve">[箱裝]whiskas 偉嘉 貓乾糧 1歲以上成貓適用, 烤鮭魚口味, 1.2kg, 6袋</t>
  </si>
  <si>
    <t xml:space="preserve">13000000456893</t>
  </si>
  <si>
    <t xml:space="preserve">13000000472912</t>
  </si>
  <si>
    <t xml:space="preserve">(M)-
(E)2029-03-16</t>
  </si>
  <si>
    <t xml:space="preserve">13000000472917</t>
  </si>
  <si>
    <t xml:space="preserve">13000000518323</t>
  </si>
  <si>
    <t xml:space="preserve">TXFC11</t>
  </si>
  <si>
    <t xml:space="preserve">桃園市新屋區埔頂路6號</t>
  </si>
  <si>
    <t xml:space="preserve">522244896269183</t>
  </si>
  <si>
    <t xml:space="preserve">10040000011054</t>
  </si>
  <si>
    <t xml:space="preserve">M10289708</t>
  </si>
  <si>
    <t xml:space="preserve">SNICKERS 士力架</t>
  </si>
  <si>
    <t xml:space="preserve">[箱裝]SNICKERS 士力架 杏仁巧克力, 49.9g, 288個</t>
  </si>
  <si>
    <t xml:space="preserve">(M)2026-04-24
(E)2027-04-22</t>
  </si>
  <si>
    <t xml:space="preserve">13000000527594</t>
  </si>
  <si>
    <t xml:space="preserve">13000000527427</t>
  </si>
  <si>
    <t xml:space="preserve">13000000527228</t>
  </si>
  <si>
    <t xml:space="preserve">276214220570624</t>
  </si>
  <si>
    <t xml:space="preserve">0642863041266</t>
  </si>
  <si>
    <t xml:space="preserve">M10225150停售</t>
  </si>
  <si>
    <t xml:space="preserve">Greenies 健綠 原味潔牙骨 7-11公斤 小型犬用, 27oz, 45支, 1盒</t>
  </si>
  <si>
    <t xml:space="preserve">(M)-
(E)2027-06-23</t>
  </si>
  <si>
    <t xml:space="preserve">(M)-
(E)2027-09-24</t>
  </si>
  <si>
    <t xml:space="preserve">13000000527219</t>
  </si>
  <si>
    <t xml:space="preserve">13000000527192</t>
  </si>
  <si>
    <t xml:space="preserve">276215176855555</t>
  </si>
  <si>
    <t xml:space="preserve">0642863041334</t>
  </si>
  <si>
    <t xml:space="preserve">M10225146停售</t>
  </si>
  <si>
    <t xml:space="preserve">Greenies 健綠 原味潔牙骨 2-7公斤 迷你犬用, 27oz, 96支, 1盒</t>
  </si>
  <si>
    <t xml:space="preserve">13000000527178</t>
  </si>
  <si>
    <t xml:space="preserve">(M)2025-09-26
(E)2027-09-26</t>
  </si>
  <si>
    <t xml:space="preserve">(M)-
(E)2027-09-26</t>
  </si>
  <si>
    <t xml:space="preserve">(M)-
(E)2027-09-25</t>
  </si>
  <si>
    <t xml:space="preserve">13000000527147</t>
  </si>
  <si>
    <t xml:space="preserve">13000000527118</t>
  </si>
  <si>
    <t xml:space="preserve">13000000527113</t>
  </si>
  <si>
    <t xml:space="preserve">13000000527096</t>
  </si>
  <si>
    <t xml:space="preserve">(M)-
(E)2029-03-21</t>
  </si>
  <si>
    <t xml:space="preserve">(M)2024-03-23
(E)2029-03-21</t>
  </si>
  <si>
    <t xml:space="preserve">13000000527089</t>
  </si>
  <si>
    <t xml:space="preserve">13000000525589</t>
  </si>
  <si>
    <t xml:space="preserve">123251657228295</t>
  </si>
  <si>
    <t xml:space="preserve">4712318591960</t>
  </si>
  <si>
    <t xml:space="preserve">1021357</t>
  </si>
  <si>
    <t xml:space="preserve">橘子工坊 天然濃縮洗衣粉制菌力 補充包 1350g</t>
  </si>
  <si>
    <t xml:space="preserve">Split_原訂單13000000517276</t>
  </si>
  <si>
    <t xml:space="preserve">123251678199808</t>
  </si>
  <si>
    <t xml:space="preserve">4712318592028</t>
  </si>
  <si>
    <t xml:space="preserve">1021315</t>
  </si>
  <si>
    <t xml:space="preserve">橘子工坊 天然無香精制菌洗衣精-洗淨病毒升級版1500ml(洗淨RSV/冠狀病毒/AB型流感病毒)</t>
  </si>
  <si>
    <t xml:space="preserve">Split_原訂單13000000517649_原訂單13000000517276</t>
  </si>
  <si>
    <t xml:space="preserve">485672154480640</t>
  </si>
  <si>
    <t xml:space="preserve">4712318595524</t>
  </si>
  <si>
    <t xml:space="preserve">1021342</t>
  </si>
  <si>
    <t xml:space="preserve">橘子工坊 天然濃縮洗衣精制菌雙酵, 1.8L, 1瓶</t>
  </si>
  <si>
    <t xml:space="preserve">(M)2024-03-24
(E)2029-03-22</t>
  </si>
  <si>
    <t xml:space="preserve">Split_原訂單13000000472873</t>
  </si>
  <si>
    <t xml:space="preserve">13000000525447</t>
  </si>
  <si>
    <t xml:space="preserve">13000000525442</t>
  </si>
  <si>
    <t xml:space="preserve">13000000525407</t>
  </si>
  <si>
    <t xml:space="preserve">13000000525387</t>
  </si>
  <si>
    <t xml:space="preserve">TAO9</t>
  </si>
  <si>
    <t xml:space="preserve">桃園市大園區建國路102號3樓</t>
  </si>
  <si>
    <t xml:space="preserve">(M)-
(E)2027-05-06</t>
  </si>
  <si>
    <t xml:space="preserve">122903387406337</t>
  </si>
  <si>
    <t xml:space="preserve">4710716336251</t>
  </si>
  <si>
    <t xml:space="preserve">M10283138</t>
  </si>
  <si>
    <t xml:space="preserve">Airwaves 超涼無糖薄荷糖, 蜂蜜檸檬口味, 30g, 3條, 1袋</t>
  </si>
  <si>
    <t xml:space="preserve">(M)-
(E)2027-08-13</t>
  </si>
  <si>
    <t xml:space="preserve">153741449723904</t>
  </si>
  <si>
    <t xml:space="preserve">4714686007760</t>
  </si>
  <si>
    <t xml:space="preserve">M10204218</t>
  </si>
  <si>
    <t xml:space="preserve">[箱裝] Cesar 西莎 風味餐盒, 經典嫩烤火雞口味, 100g, 24罐</t>
  </si>
  <si>
    <t xml:space="preserve">(M)2025-12-21
(E)2027-06-21</t>
  </si>
  <si>
    <t xml:space="preserve">13000000524916</t>
  </si>
  <si>
    <t xml:space="preserve">13000000524892</t>
  </si>
  <si>
    <t xml:space="preserve">13000000524833</t>
  </si>
  <si>
    <t xml:space="preserve">(M)-
(E)2028-03-15</t>
  </si>
  <si>
    <t xml:space="preserve">(M)2024-03-17
(E)2029-03-15</t>
  </si>
  <si>
    <t xml:space="preserve">13000000524751</t>
  </si>
  <si>
    <t xml:space="preserve">13000000524611</t>
  </si>
  <si>
    <t xml:space="preserve">13000000524609</t>
  </si>
  <si>
    <t xml:space="preserve">(M)2025-03-21
(E)2028-03-19</t>
  </si>
  <si>
    <t xml:space="preserve">13000000469899</t>
  </si>
  <si>
    <t xml:space="preserve">(M)-
(E)2029-03-15</t>
  </si>
  <si>
    <t xml:space="preserve">13000000429087</t>
  </si>
  <si>
    <t xml:space="preserve">13000000521708</t>
  </si>
  <si>
    <t xml:space="preserve">原EDD2026-09-21_Tip_system_shufflefail_snop_reque_Split_原訂單13000000487171</t>
  </si>
  <si>
    <t xml:space="preserve">13000000500295</t>
  </si>
  <si>
    <t xml:space="preserve">原EDD2026-09-21_Tip_system_shufflefail_snop_reque_Split_原訂單13000000487171&amp;原EDD2026-09-21_Tip_system_shufflefail_snop_reque_Split_原訂單13000000487171</t>
  </si>
  <si>
    <t xml:space="preserve">13000000487171</t>
  </si>
  <si>
    <t xml:space="preserve">13000000486977</t>
  </si>
  <si>
    <t xml:space="preserve">(M)-
(E)2027-04-27</t>
  </si>
  <si>
    <t xml:space="preserve">13000000523343</t>
  </si>
  <si>
    <t xml:space="preserve">13000000523012</t>
  </si>
  <si>
    <t xml:space="preserve">13000000522991</t>
  </si>
  <si>
    <t xml:space="preserve">522244896164249</t>
  </si>
  <si>
    <t xml:space="preserve">04710104026771</t>
  </si>
  <si>
    <t xml:space="preserve">[箱裝]五月花 厚棒袖珍包面紙, 24包, 20袋</t>
  </si>
  <si>
    <t xml:space="preserve">13000000522918</t>
  </si>
  <si>
    <t xml:space="preserve">(M)2025-03-25
(E)2028-03-23</t>
  </si>
  <si>
    <t xml:space="preserve">13000000522578</t>
  </si>
  <si>
    <t xml:space="preserve">13000000493968</t>
  </si>
  <si>
    <t xml:space="preserve">(M)2025-03-07
(E)2028-03-05</t>
  </si>
  <si>
    <t xml:space="preserve">Split_原訂單13000000493104</t>
  </si>
  <si>
    <t xml:space="preserve">13000000493166</t>
  </si>
  <si>
    <t xml:space="preserve">13000000493155</t>
  </si>
  <si>
    <t xml:space="preserve">13000000493118</t>
  </si>
  <si>
    <t xml:space="preserve">13000000493075</t>
  </si>
  <si>
    <t xml:space="preserve">13000000493067</t>
  </si>
  <si>
    <t xml:space="preserve">13000000493049</t>
  </si>
  <si>
    <t xml:space="preserve">13000000493044</t>
  </si>
  <si>
    <t xml:space="preserve">13000000492946</t>
  </si>
  <si>
    <t xml:space="preserve">13000000492925</t>
  </si>
  <si>
    <t xml:space="preserve">13000000478171</t>
  </si>
  <si>
    <t xml:space="preserve">123251833421834</t>
  </si>
  <si>
    <t xml:space="preserve">4712318590291</t>
  </si>
  <si>
    <t xml:space="preserve">1022258</t>
  </si>
  <si>
    <t xml:space="preserve">橘子工坊 食器妙用清潔粉, 450g, 1瓶</t>
  </si>
  <si>
    <t xml:space="preserve">(M)-
(E)2028-03-05</t>
  </si>
  <si>
    <t xml:space="preserve">Split_原訂單13000000435556</t>
  </si>
  <si>
    <t xml:space="preserve">13000000435216</t>
  </si>
  <si>
    <t xml:space="preserve">150827452841984</t>
  </si>
  <si>
    <t xml:space="preserve">4712318594152</t>
  </si>
  <si>
    <t xml:space="preserve">1022247</t>
  </si>
  <si>
    <t xml:space="preserve">Orange House 橘子工坊 去油淨味洗碗精, 650ml, 1瓶</t>
  </si>
  <si>
    <t xml:space="preserve">(M)2024-03-07
(E)2029-03-05</t>
  </si>
  <si>
    <t xml:space="preserve">13000000425453</t>
  </si>
  <si>
    <t xml:space="preserve">(M)-
(E)2029-03-05</t>
  </si>
  <si>
    <t xml:space="preserve">13000000425140</t>
  </si>
  <si>
    <t xml:space="preserve">13000000520454</t>
  </si>
  <si>
    <t xml:space="preserve">MPO_20260907_oos recovery_ips now fail</t>
  </si>
  <si>
    <t xml:space="preserve">13000000520332</t>
  </si>
  <si>
    <t xml:space="preserve">(M)2025-12-24
(E)2027-06-21</t>
  </si>
  <si>
    <t xml:space="preserve">MPO_2026buyableSKU_TWPBS-239711</t>
  </si>
  <si>
    <t xml:space="preserve">(M)-
(E)2027-03-23</t>
  </si>
  <si>
    <t xml:space="preserve">13000000517276</t>
  </si>
  <si>
    <t xml:space="preserve">(M)-
(E)2028-03-14</t>
  </si>
  <si>
    <t xml:space="preserve">(M)-
(E)2029-03-14</t>
  </si>
  <si>
    <t xml:space="preserve">(M)2025-03-16
(E)2028-03-14</t>
  </si>
  <si>
    <t xml:space="preserve">13000000518313</t>
  </si>
  <si>
    <t xml:space="preserve">13000000497553</t>
  </si>
  <si>
    <t xml:space="preserve">123251590119433</t>
  </si>
  <si>
    <t xml:space="preserve">4710104009507</t>
  </si>
  <si>
    <t xml:space="preserve">五月花 蓬厚柔頂級抽取衛生紙, 100張, 12包, 1袋</t>
  </si>
  <si>
    <t xml:space="preserve">13000000497010</t>
  </si>
  <si>
    <t xml:space="preserve">(M)-
(E)2029-03-07</t>
  </si>
  <si>
    <t xml:space="preserve">13000000496715</t>
  </si>
  <si>
    <t xml:space="preserve">13000000493981</t>
  </si>
  <si>
    <t xml:space="preserve">123251669811221</t>
  </si>
  <si>
    <t xml:space="preserve">4902430955102</t>
  </si>
  <si>
    <t xml:space="preserve">[DS]Febreze 風倍清 織物除菌消臭噴霧 補充包 ,綠茶清香, 320ml, 1包</t>
  </si>
  <si>
    <t xml:space="preserve">(M)-
(E)2027-06-06</t>
  </si>
  <si>
    <t xml:space="preserve">(M)-
(E)2028-03-07</t>
  </si>
  <si>
    <t xml:space="preserve">149778167988224</t>
  </si>
  <si>
    <t xml:space="preserve">4987176030375</t>
  </si>
  <si>
    <t xml:space="preserve">[DS]febreze 風倍清 台灣公司貨 浴廁用抗菌消臭防臭劑 薄荷綠香 6ml, 2入, 1組</t>
  </si>
  <si>
    <t xml:space="preserve">(M)-
(E)2027-06-03</t>
  </si>
  <si>
    <t xml:space="preserve">(M)2025-09-07
(E)2027-09-06</t>
  </si>
  <si>
    <t xml:space="preserve">13000000493134</t>
  </si>
  <si>
    <t xml:space="preserve">(M)2025-03-09
(E)2028-03-07</t>
  </si>
  <si>
    <t xml:space="preserve">13000000472925</t>
  </si>
  <si>
    <t xml:space="preserve">13000000472576</t>
  </si>
  <si>
    <t xml:space="preserve">MPO_260819_MPO Application_Baby &amp; HPC</t>
  </si>
  <si>
    <t xml:space="preserve">522244896295340</t>
  </si>
  <si>
    <t xml:space="preserve">4987176372062</t>
  </si>
  <si>
    <t xml:space="preserve">[箱裝] whisper 好自在 熊抱安睡褲, M, 8片, 3包, 1箱</t>
  </si>
  <si>
    <t xml:space="preserve">13000000457062</t>
  </si>
  <si>
    <t xml:space="preserve">Split_原訂單 13000000452582</t>
  </si>
  <si>
    <t xml:space="preserve">13000000452560</t>
  </si>
  <si>
    <t xml:space="preserve">13000000518672</t>
  </si>
  <si>
    <t xml:space="preserve">13000000517649</t>
  </si>
  <si>
    <t xml:space="preserve">(M)-
(E)2028-03-16</t>
  </si>
  <si>
    <t xml:space="preserve">(M)2025-03-18
(E)2028-03-16</t>
  </si>
  <si>
    <t xml:space="preserve">13000000516811</t>
  </si>
  <si>
    <t xml:space="preserve">205550285455360</t>
  </si>
  <si>
    <t xml:space="preserve">4712318590871</t>
  </si>
  <si>
    <t xml:space="preserve">[箱裝] 橘子工坊 天然無香精洗衣精-洗淨病毒升級版1800ml x6瓶(洗淨RSV/冠狀病毒/AB型流感病毒)</t>
  </si>
  <si>
    <t xml:space="preserve">(M)-
(E)2028-03-18</t>
  </si>
  <si>
    <t xml:space="preserve">13000000493063</t>
  </si>
  <si>
    <t xml:space="preserve">(M)2025-03-06
(E)2028-03-04</t>
  </si>
  <si>
    <t xml:space="preserve">13000000478293</t>
  </si>
  <si>
    <t xml:space="preserve">522244896458359</t>
  </si>
  <si>
    <t xml:space="preserve">RTW897469405192</t>
  </si>
  <si>
    <t xml:space="preserve">MARS240923-GIF贈品</t>
  </si>
  <si>
    <t xml:space="preserve">ADAMOUTDOOR</t>
  </si>
  <si>
    <t xml:space="preserve">[贈品]ADAMOUTDOOR 輕便隨身折疊椅, 白色, 1個</t>
  </si>
  <si>
    <t xml:space="preserve">MPO_쵤�~</t>
  </si>
  <si>
    <t xml:space="preserve">13000000472923</t>
  </si>
  <si>
    <t xml:space="preserve">(M)-
(E)2029-03-04</t>
  </si>
  <si>
    <t xml:space="preserve">Split_原訂單 13000000469821</t>
  </si>
  <si>
    <t xml:space="preserve">13000000472914</t>
  </si>
  <si>
    <t xml:space="preserve">原EDD2026-09-04_MPO_260817_Buying_Plan_TWPBS-231221_Split_原訂單13000000462848</t>
  </si>
  <si>
    <t xml:space="preserve">153707350032385</t>
  </si>
  <si>
    <t xml:space="preserve">4893565702986</t>
  </si>
  <si>
    <t xml:space="preserve">M60017689</t>
  </si>
  <si>
    <t xml:space="preserve">[箱裝]Sheba 希寶 金罐 湯汁, 鮪魚 + 蟹肉, 85g, 24罐, 1箱</t>
  </si>
  <si>
    <t xml:space="preserve">(M)-
(E)2027-08-29</t>
  </si>
  <si>
    <t xml:space="preserve">13000000472902</t>
  </si>
  <si>
    <t xml:space="preserve">13000000467952</t>
  </si>
  <si>
    <t xml:space="preserve">522244896204141</t>
  </si>
  <si>
    <t xml:space="preserve">14718201210830</t>
  </si>
  <si>
    <t xml:space="preserve">M60020646</t>
  </si>
  <si>
    <t xml:space="preserve">[箱裝]Airwaves 超涼無糖口香糖 超值包 冷萃咖啡口味, 62g, 10包, 6盒</t>
  </si>
  <si>
    <t xml:space="preserve">M10254005</t>
  </si>
  <si>
    <t xml:space="preserve">(M)-
(E)2027-04-10</t>
  </si>
  <si>
    <t xml:space="preserve">522244896253098</t>
  </si>
  <si>
    <t xml:space="preserve">14718201213886</t>
  </si>
  <si>
    <t xml:space="preserve">M10267034</t>
  </si>
  <si>
    <t xml:space="preserve">[箱裝]eclipse 易口舒 草本潤喉薄荷糖 枇杷秋梨口味, 30g, 96盒</t>
  </si>
  <si>
    <t xml:space="preserve">13000000462848</t>
  </si>
  <si>
    <t xml:space="preserve">MPO_260817_Buying_Plan_TWPBS-231221</t>
  </si>
  <si>
    <t xml:space="preserve">172206982119425</t>
  </si>
  <si>
    <t xml:space="preserve">4714686008040</t>
  </si>
  <si>
    <t xml:space="preserve">M10403709</t>
  </si>
  <si>
    <t xml:space="preserve">Cesar 西莎 點心系列 狗零食, 贅沢濃厚切達起司條口味, 100g, 12包</t>
  </si>
  <si>
    <t xml:space="preserve">(M)-
(E)2027-03-05</t>
  </si>
  <si>
    <t xml:space="preserve">(M)2025-09-04
(E)2027-09-03</t>
  </si>
  <si>
    <t xml:space="preserve">(M)2025-12-06
(E)2027-06-03</t>
  </si>
  <si>
    <t xml:space="preserve">13000000493983</t>
  </si>
  <si>
    <t xml:space="preserve">253758785159169</t>
  </si>
  <si>
    <t xml:space="preserve">4902430789639</t>
  </si>
  <si>
    <t xml:space="preserve">[DS]Oral-B 舒適深潔牙線, 清新薄荷, 40m, 1個</t>
  </si>
  <si>
    <t xml:space="preserve">333402565738496</t>
  </si>
  <si>
    <t xml:space="preserve">24987176191568</t>
  </si>
  <si>
    <t xml:space="preserve">[DS]Crest 台灣公司貨 極致鑽白牙膏 亮白防蛀, 110g, 6條</t>
  </si>
  <si>
    <t xml:space="preserve">(M)-
(E)2028-03-04</t>
  </si>
  <si>
    <t xml:space="preserve">341387962695681</t>
  </si>
  <si>
    <t xml:space="preserve">4987176134608</t>
  </si>
  <si>
    <t xml:space="preserve">[DS]Gillette 吉列 Labs 極光系列 刮鬍刀組, 刀架 + 刀頭 5個 + 刀座 + 旅行盒, 1組</t>
  </si>
  <si>
    <t xml:space="preserve">341387966922752</t>
  </si>
  <si>
    <t xml:space="preserve">4987176134578</t>
  </si>
  <si>
    <t xml:space="preserve">[DS]Gillette 吉列 Labs 極光系列 刮鬍刀組, 刀架 + 刀頭 2個 + 刀座, 1組</t>
  </si>
  <si>
    <t xml:space="preserve">410946287665154</t>
  </si>
  <si>
    <t xml:space="preserve">4902430341844</t>
  </si>
  <si>
    <t xml:space="preserve">[DS]Gillette 吉列 台灣公司貨 Mach3 鋒速系列刮鬍刀頭, 4個, 1盒</t>
  </si>
  <si>
    <t xml:space="preserve">410946287681536</t>
  </si>
  <si>
    <t xml:space="preserve">4902430341820</t>
  </si>
  <si>
    <t xml:space="preserve">[DS]Gillette 吉列 台灣公司貨 Mach3 鋒速系列刮鬍刀頭, 8個, 1盒</t>
  </si>
  <si>
    <t xml:space="preserve">410946291875844</t>
  </si>
  <si>
    <t xml:space="preserve">4987176247674</t>
  </si>
  <si>
    <t xml:space="preserve">[DS]Gillette 吉列 台灣公司貨 Mach3 鋒速系列刮鬍刀組, 刀架+刀頭*2, 1盒</t>
  </si>
  <si>
    <t xml:space="preserve">412848148660224</t>
  </si>
  <si>
    <t xml:space="preserve">4987176132185</t>
  </si>
  <si>
    <t xml:space="preserve">[DS]Gillette 吉列 台灣公司貨 Labs 極光系列 刮鬍刀頭, 8個, 1盒</t>
  </si>
  <si>
    <t xml:space="preserve">490667281137664</t>
  </si>
  <si>
    <t xml:space="preserve">4987176291929</t>
  </si>
  <si>
    <t xml:space="preserve">[DS]febreze 風倍清 台灣公司貨 室內用抗菌消臭防臭劑 清爽皂香, 7ml, 1個</t>
  </si>
  <si>
    <t xml:space="preserve">490667281186816</t>
  </si>
  <si>
    <t xml:space="preserve">4987176291936</t>
  </si>
  <si>
    <t xml:space="preserve">[DS]febreze 風倍清 台灣公司貨 室內用抗菌消臭防臭劑 清新白茶, 7ml, 1個</t>
  </si>
  <si>
    <t xml:space="preserve">513596253454336</t>
  </si>
  <si>
    <t xml:space="preserve">4987176272799</t>
  </si>
  <si>
    <t xml:space="preserve">Gillette 吉列 原廠公司貨 ProShield鋒護系列 刮鬍刀頭, 4個, 1組</t>
  </si>
  <si>
    <t xml:space="preserve">518994700255233</t>
  </si>
  <si>
    <t xml:space="preserve">6903148308752</t>
  </si>
  <si>
    <t xml:space="preserve">[DS]whisper 好自在 台灣公司貨 Air Dry 雲枕瞬吸衛生棉 日用輕量型, 18cm , 12片, 1包</t>
  </si>
  <si>
    <t xml:space="preserve">522244895806721</t>
  </si>
  <si>
    <t xml:space="preserve">4987176314413</t>
  </si>
  <si>
    <t xml:space="preserve">Lenor 蘭諾 衣物芳香豆 青檸紫羅蘭, 450ml, 1瓶</t>
  </si>
  <si>
    <t xml:space="preserve">522244895806725</t>
  </si>
  <si>
    <t xml:space="preserve">4987176314253</t>
  </si>
  <si>
    <t xml:space="preserve">Lenor 蘭諾 衣物抗菌芳香豆 潮濕天氣抗臭, 440ml, 1瓶</t>
  </si>
  <si>
    <t xml:space="preserve">522244896294063</t>
  </si>
  <si>
    <t xml:space="preserve">6903148352700</t>
  </si>
  <si>
    <t xml:space="preserve">whisper 好自在 無痕奢柔褲 內褲型, M~L, 3片, 1個</t>
  </si>
  <si>
    <t xml:space="preserve">522244896294064</t>
  </si>
  <si>
    <t xml:space="preserve">6903148355947</t>
  </si>
  <si>
    <t xml:space="preserve">whisper 好自在 無痕奢柔褲 內褲型, XL, 3片, 1個</t>
  </si>
  <si>
    <t xml:space="preserve">522244896297743</t>
  </si>
  <si>
    <t xml:space="preserve">4987176372246</t>
  </si>
  <si>
    <t xml:space="preserve">whisper 好自在 液體衛生棉 16片 2包 + 清新淨味液體衛生棉 9片 2包, 27cm, 50片, 1套</t>
  </si>
  <si>
    <t xml:space="preserve">522244896297746</t>
  </si>
  <si>
    <t xml:space="preserve">4987176372109</t>
  </si>
  <si>
    <t xml:space="preserve">whisper 好自在 液體衛生棉 18片 2包 + 清新淨味液體衛生棉 9片 2包, 24cm, 54片, 1套</t>
  </si>
  <si>
    <t xml:space="preserve">522244896297748</t>
  </si>
  <si>
    <t xml:space="preserve">4987176372260</t>
  </si>
  <si>
    <t xml:space="preserve">whisper 好自在 液體衛生棉 9片 4包 + 清新淨味液體衛生棉 9片 2包, 29.5cm + 31.7cm, 54片, 1套</t>
  </si>
  <si>
    <t xml:space="preserve">522244896297750</t>
  </si>
  <si>
    <t xml:space="preserve">4987176372215</t>
  </si>
  <si>
    <t xml:space="preserve">whisper 好自在 液體衛生棉 10片 3包 + 清新淨味液體衛生棉 9片 2包, 34cm + 31.7cm, 48片, 1套</t>
  </si>
  <si>
    <t xml:space="preserve">522244896317755</t>
  </si>
  <si>
    <t xml:space="preserve">4987176373861</t>
  </si>
  <si>
    <t xml:space="preserve">Lenor 蘭諾 衣物芳香豆 清晨草木 補充包, 900ml, 1個</t>
  </si>
  <si>
    <t xml:space="preserve">522244896373892</t>
  </si>
  <si>
    <t xml:space="preserve">6903148355923</t>
  </si>
  <si>
    <t xml:space="preserve">whisper 好自在 無痕早安褲 內褲型, XL, 3片, 1個</t>
  </si>
  <si>
    <t xml:space="preserve">13000000513947</t>
  </si>
  <si>
    <t xml:space="preserve">522244896477012</t>
  </si>
  <si>
    <t xml:space="preserve">4710908004531</t>
  </si>
  <si>
    <t xml:space="preserve">1023032</t>
  </si>
  <si>
    <t xml:space="preserve">Orange House 橘子工坊 變色泡泡洗手慕斯補充瓶, 350ml, 1件</t>
  </si>
  <si>
    <t xml:space="preserve">MPO_260903_MPO Application_Baby &amp; HPC</t>
  </si>
  <si>
    <t xml:space="preserve">522244896477216</t>
  </si>
  <si>
    <t xml:space="preserve">4710908004548</t>
  </si>
  <si>
    <t xml:space="preserve">[箱裝]Orange House 橘子工坊 變色泡泡洗手慕斯補充瓶, 350ml, 12件</t>
  </si>
  <si>
    <t xml:space="preserve">522244896478999</t>
  </si>
  <si>
    <t xml:space="preserve">4710908003954</t>
  </si>
  <si>
    <t xml:space="preserve">[箱裝]ORANGE HOUSE 橘子工坊 天然濃縮制菌去味洗衣精, 1.5L, 6包</t>
  </si>
  <si>
    <t xml:space="preserve">13000000511539</t>
  </si>
  <si>
    <t xml:space="preserve">Split_原訂單13000000469791</t>
  </si>
  <si>
    <t xml:space="preserve">13000000472913</t>
  </si>
  <si>
    <t xml:space="preserve">483037523460098</t>
  </si>
  <si>
    <t xml:space="preserve">18853301012567</t>
  </si>
  <si>
    <t xml:space="preserve">M10272370停產</t>
  </si>
  <si>
    <t xml:space="preserve">[箱裝]whiskas 偉嘉 什錦珍味妙鮮包, 雞肉 + 鮪魚 + 紅蘿蔔湯汁, 70g, 28包, 1箱</t>
  </si>
  <si>
    <t xml:space="preserve">原EDD2026-09-02_Tip_system_Split_原訂單13000000467782</t>
  </si>
  <si>
    <t xml:space="preserve">13000000461388</t>
  </si>
  <si>
    <t xml:space="preserve">154081230307332</t>
  </si>
  <si>
    <t xml:space="preserve">4718201216101</t>
  </si>
  <si>
    <t xml:space="preserve">M60020628</t>
  </si>
  <si>
    <t xml:space="preserve">[組出] Airwaves 超涼無糖口香糖 暢涼可樂口味, 28g, 10包</t>
  </si>
  <si>
    <t xml:space="preserve">M10254008</t>
  </si>
  <si>
    <t xml:space="preserve">13000000459856</t>
  </si>
  <si>
    <t xml:space="preserve">13000000511301</t>
  </si>
  <si>
    <t xml:space="preserve">Split_原訂單13000000457062</t>
  </si>
  <si>
    <t xml:space="preserve">13000000511287</t>
  </si>
  <si>
    <t xml:space="preserve">Split_原訂單13000000467992</t>
  </si>
  <si>
    <t xml:space="preserve">13000000511286</t>
  </si>
  <si>
    <t xml:space="preserve">13000000489766</t>
  </si>
  <si>
    <t xml:space="preserve">(M)2025-03-05
(E)2028-03-03</t>
  </si>
  <si>
    <t xml:space="preserve">Split_原訂單  13000000452582</t>
  </si>
  <si>
    <t xml:space="preserve">13000000482204</t>
  </si>
  <si>
    <t xml:space="preserve">(M)2025-03-04
(E)2028-03-02</t>
  </si>
  <si>
    <t xml:space="preserve">MPO_260824_MPO Application_Baby &amp; HPC</t>
  </si>
  <si>
    <t xml:space="preserve">13000000482200</t>
  </si>
  <si>
    <t xml:space="preserve">13000000482192</t>
  </si>
  <si>
    <t xml:space="preserve">13000000482110</t>
  </si>
  <si>
    <t xml:space="preserve">13000000472615</t>
  </si>
  <si>
    <t xml:space="preserve">(M)-
(E)2028-03-03</t>
  </si>
  <si>
    <t xml:space="preserve">Split_原訂單 13000000469791</t>
  </si>
  <si>
    <t xml:space="preserve">(M)-
(E)2029-03-03</t>
  </si>
  <si>
    <t xml:space="preserve">13000000472579</t>
  </si>
  <si>
    <t xml:space="preserve">149768592408576</t>
  </si>
  <si>
    <t xml:space="preserve">6903148182680</t>
  </si>
  <si>
    <t xml:space="preserve">[DS]whisper 好自在 台灣公司貨 隱型乾爽護墊, 自然無香, 40片, 1包</t>
  </si>
  <si>
    <t xml:space="preserve">149768982462464</t>
  </si>
  <si>
    <t xml:space="preserve">6903148182406</t>
  </si>
  <si>
    <t xml:space="preserve">[DS]好自在隱型清新護墊 淡香 40片,1包</t>
  </si>
  <si>
    <t xml:space="preserve">(M)-
(E)2027-09-02</t>
  </si>
  <si>
    <t xml:space="preserve">253364545765379</t>
  </si>
  <si>
    <t xml:space="preserve">4987176122919</t>
  </si>
  <si>
    <t xml:space="preserve">[DS]whisper 好自在 台灣公司貨 熊抱安睡36cm量多夜用(10片X2),1組</t>
  </si>
  <si>
    <t xml:space="preserve">324773687050240</t>
  </si>
  <si>
    <t xml:space="preserve">4987176177858</t>
  </si>
  <si>
    <t xml:space="preserve">[DS]whisper 好自在 Radiant清新淨味 液體衛生棉/巾 棉柔表層 量多超薄 日用型, 27cm, 9片, 1盒</t>
  </si>
  <si>
    <t xml:space="preserve">328775300513792</t>
  </si>
  <si>
    <t xml:space="preserve">4987176177841</t>
  </si>
  <si>
    <t xml:space="preserve">[DS]whisper 好自在 台灣公司貨 液體衛生棉清新淨味 24cm, 1包, 9片, 一般</t>
  </si>
  <si>
    <t xml:space="preserve">518995950092290</t>
  </si>
  <si>
    <t xml:space="preserve">6903148304761</t>
  </si>
  <si>
    <t xml:space="preserve">[DS]whisper 好自在 台灣公司貨 Air Dry 雲枕瞬吸衛生棉 日用, 24cm, 20片, 1袋</t>
  </si>
  <si>
    <t xml:space="preserve">518995954335745</t>
  </si>
  <si>
    <t xml:space="preserve">6903148354582</t>
  </si>
  <si>
    <t xml:space="preserve">[DS]whisper 好自在 台灣公司貨 Air Dry 雲枕瞬吸衛生棉 日用量大, 28cm, 20片, 1袋</t>
  </si>
  <si>
    <t xml:space="preserve">522244895806737</t>
  </si>
  <si>
    <t xml:space="preserve">4987176293374</t>
  </si>
  <si>
    <t xml:space="preserve">[DS]Gillette 吉列 服貼滑順輕便刮鬍刀, 10支, 1包</t>
  </si>
  <si>
    <t xml:space="preserve">522244895873196</t>
  </si>
  <si>
    <t xml:space="preserve">4987176274168</t>
  </si>
  <si>
    <t xml:space="preserve">Gillette 吉列 SkinGuard 紳適系列刮鬍刀頭, 4個, 1組</t>
  </si>
  <si>
    <t xml:space="preserve">522244895972653</t>
  </si>
  <si>
    <t xml:space="preserve">Pampers 幫寶適 原廠公司貨 清新幫拉拉褲/褲型尿布, M, 6~11kg, 50片</t>
  </si>
  <si>
    <t xml:space="preserve">(M)2025-09-03
(E)2027-09-02</t>
  </si>
  <si>
    <t xml:space="preserve">(M)2025-12-05
(E)2027-06-02</t>
  </si>
  <si>
    <t xml:space="preserve">522244896175861</t>
  </si>
  <si>
    <t xml:space="preserve">4987176337153</t>
  </si>
  <si>
    <t xml:space="preserve">ARIEL 原廠公司貨 4D抗菌洗衣膠囊補充包 抗菌去漬型, 30個裝, 1套</t>
  </si>
  <si>
    <t xml:space="preserve">522244896175863</t>
  </si>
  <si>
    <t xml:space="preserve">4987176337160</t>
  </si>
  <si>
    <t xml:space="preserve">ARIEL 原廠公司貨 4D抗菌洗衣膠囊補充包 室內晾衣型, 30顆, 1袋</t>
  </si>
  <si>
    <t xml:space="preserve">522244896205152</t>
  </si>
  <si>
    <t xml:space="preserve">6903148345023</t>
  </si>
  <si>
    <t xml:space="preserve">whisper 好自在 經典款 液體衛生棉, 量大加長型 29.5cm, 夜用, 9片, 1個</t>
  </si>
  <si>
    <t xml:space="preserve">522244896205153</t>
  </si>
  <si>
    <t xml:space="preserve">4987176084378</t>
  </si>
  <si>
    <t xml:space="preserve">whisper 好自在 熊抱安睡褲 L, 夜用, 8片, 1個</t>
  </si>
  <si>
    <t xml:space="preserve">522244896205154</t>
  </si>
  <si>
    <t xml:space="preserve">4987176166739</t>
  </si>
  <si>
    <t xml:space="preserve">whisper 好自在 熊抱安睡褲 M, 夜用, 8片, 1個</t>
  </si>
  <si>
    <t xml:space="preserve">522244896297745</t>
  </si>
  <si>
    <t xml:space="preserve">4987176372154</t>
  </si>
  <si>
    <t xml:space="preserve">whisper 好自在 液體衛生棉 16片 5包 + 清新淨味液體衛生棉 9片 3包, 27cm, 107片, 1套</t>
  </si>
  <si>
    <t xml:space="preserve">522244896317752</t>
  </si>
  <si>
    <t xml:space="preserve">4987176373922</t>
  </si>
  <si>
    <t xml:space="preserve">Lenor 蘭諾 衣物芳香豆 甜花石榴香 補充包, 900ml, 1個</t>
  </si>
  <si>
    <t xml:space="preserve">522244896317757</t>
  </si>
  <si>
    <t xml:space="preserve">4987176373878</t>
  </si>
  <si>
    <t xml:space="preserve">Lenor 蘭諾 衣物芳香豆 青檸紫羅蘭 補充包, 900ml, 1個</t>
  </si>
  <si>
    <t xml:space="preserve">522244896371575</t>
  </si>
  <si>
    <t xml:space="preserve">4987176324023</t>
  </si>
  <si>
    <t xml:space="preserve">Gillette 吉列 Venus 維納斯 敏感肌適用除毛刀組, 刀架 + 刀頭 2個 + 磁吸壁掛, 1套</t>
  </si>
  <si>
    <t xml:space="preserve">(M)2024-03-05
(E)2029-03-03</t>
  </si>
  <si>
    <t xml:space="preserve">522244896404694</t>
  </si>
  <si>
    <t xml:space="preserve">4987176393326</t>
  </si>
  <si>
    <t xml:space="preserve">Tide 汰漬</t>
  </si>
  <si>
    <t xml:space="preserve">Tide 汰漬 2倍超濃縮洗衣精, 3.69L, 1個</t>
  </si>
  <si>
    <t xml:space="preserve">522244896412138</t>
  </si>
  <si>
    <t xml:space="preserve">4987176039507</t>
  </si>
  <si>
    <t xml:space="preserve">Gillette 吉列 Venus 維納斯 敏感肌適用除毛刀頭, 4個裝, 1套</t>
  </si>
  <si>
    <t xml:space="preserve">522244896416516</t>
  </si>
  <si>
    <t xml:space="preserve">4987176376879</t>
  </si>
  <si>
    <t xml:space="preserve">Crest 多效淨白牙膏 檸檬青茶, 120g, 1個</t>
  </si>
  <si>
    <t xml:space="preserve">522244896416691</t>
  </si>
  <si>
    <t xml:space="preserve">44987176376877</t>
  </si>
  <si>
    <t xml:space="preserve">[組出]Crest 多效淨白牙膏 檸檬青茶, 120g, 6個</t>
  </si>
  <si>
    <t xml:space="preserve">522244896416692</t>
  </si>
  <si>
    <t xml:space="preserve">44987176376884</t>
  </si>
  <si>
    <t xml:space="preserve">[組出]Crest 多效淨白牙膏 清爽薄荷, 120g, 6個</t>
  </si>
  <si>
    <t xml:space="preserve">522244896416693</t>
  </si>
  <si>
    <t xml:space="preserve">44987176376891</t>
  </si>
  <si>
    <t xml:space="preserve">[組出]Crest 多效淨白牙膏 清新茉莉, 120g, 6個</t>
  </si>
  <si>
    <t xml:space="preserve">13000000472575</t>
  </si>
  <si>
    <t xml:space="preserve">13000000472490</t>
  </si>
  <si>
    <t xml:space="preserve">(M)-
(E)2027-06-02</t>
  </si>
  <si>
    <t xml:space="preserve">13000000470364</t>
  </si>
  <si>
    <t xml:space="preserve">13000000469888</t>
  </si>
  <si>
    <t xml:space="preserve">522244896444615</t>
  </si>
  <si>
    <t xml:space="preserve">4987176386762</t>
  </si>
  <si>
    <t xml:space="preserve">[箱裝]Pampers 幫寶適 原廠公司貨 極上守護 一級幫黏貼型護膚尿布/紙尿褲, 小碼 (S), 198片</t>
  </si>
  <si>
    <t xml:space="preserve">522244896444617</t>
  </si>
  <si>
    <t xml:space="preserve">4987176386724</t>
  </si>
  <si>
    <t xml:space="preserve">[箱裝]Pampers 幫寶適 原廠公司貨 極上守護 一級幫散熱拉拉褲/褲型尿布, 中碼 (M), 150片</t>
  </si>
  <si>
    <t xml:space="preserve">13000000469845</t>
  </si>
  <si>
    <t xml:space="preserve">522244895787110</t>
  </si>
  <si>
    <t xml:space="preserve">4710908002124</t>
  </si>
  <si>
    <t xml:space="preserve">1022271</t>
  </si>
  <si>
    <t xml:space="preserve">Orange House 橘子工坊 食器廚房兩用噴槍泡泡, 380ml, 1瓶</t>
  </si>
  <si>
    <t xml:space="preserve">13000000469841</t>
  </si>
  <si>
    <t xml:space="preserve">150852627021825</t>
  </si>
  <si>
    <t xml:space="preserve">4710104005325</t>
  </si>
  <si>
    <t xml:space="preserve">0103176</t>
  </si>
  <si>
    <t xml:space="preserve">MAY FLOWER 五月花 親肌感盒裝面紙, 160張, 5盒, 1組</t>
  </si>
  <si>
    <t xml:space="preserve">13000000469742</t>
  </si>
  <si>
    <t xml:space="preserve">(M)-
(E)2029-03-02</t>
  </si>
  <si>
    <t xml:space="preserve">(M)-
(E)2028-03-02</t>
  </si>
  <si>
    <t xml:space="preserve">150827452841985</t>
  </si>
  <si>
    <t xml:space="preserve">4712318592226</t>
  </si>
  <si>
    <t xml:space="preserve">1022250</t>
  </si>
  <si>
    <t xml:space="preserve">Orange House 橘子工坊 溫和除菌洗碗精補充包, 500ml, 1包</t>
  </si>
  <si>
    <t xml:space="preserve">13000000467782</t>
  </si>
  <si>
    <t xml:space="preserve">122903911677954</t>
  </si>
  <si>
    <t xml:space="preserve">4902397846413</t>
  </si>
  <si>
    <t xml:space="preserve">M10281282</t>
  </si>
  <si>
    <t xml:space="preserve">Cesar 西莎 點心系列 狗零食 低脂雞胸培根切片口味, 80g, 1包</t>
  </si>
  <si>
    <t xml:space="preserve">(M)-
(E)2027-09-01</t>
  </si>
  <si>
    <t xml:space="preserve">(M)-
(E)2027-05-29</t>
  </si>
  <si>
    <t xml:space="preserve">(M)-
(E)2027-06-01</t>
  </si>
  <si>
    <t xml:space="preserve">(M)2025-12-02
(E)2027-06-02</t>
  </si>
  <si>
    <t xml:space="preserve">483049795993600</t>
  </si>
  <si>
    <t xml:space="preserve">4718201211335</t>
  </si>
  <si>
    <t xml:space="preserve">Doublemint 青箭 粒裝口香糖, 薄荷口味, 28g, 5包</t>
  </si>
  <si>
    <t xml:space="preserve">(M)-
(E)2027-04-08</t>
  </si>
  <si>
    <t xml:space="preserve">13000000467388</t>
  </si>
  <si>
    <t xml:space="preserve">151563968397312</t>
  </si>
  <si>
    <t xml:space="preserve">4710104009132</t>
  </si>
  <si>
    <t xml:space="preserve">0104077暫不供貨</t>
  </si>
  <si>
    <t xml:space="preserve">五月花 妙用廚房紙巾, 112張, 6捲</t>
  </si>
  <si>
    <t xml:space="preserve">包裝升級(舊料號0104048順轉)</t>
  </si>
  <si>
    <t xml:space="preserve">13000000461752</t>
  </si>
  <si>
    <t xml:space="preserve">[箱裝]Sheba 希寶 金罐, 鮪魚 + 鮭魚, 85g, 24罐, 1箱</t>
  </si>
  <si>
    <t xml:space="preserve">原EDD2026-08-24_MPO_0812_Split_原訂單13000000448801</t>
  </si>
  <si>
    <t xml:space="preserve">153707350032384</t>
  </si>
  <si>
    <t xml:space="preserve">19334214023943</t>
  </si>
  <si>
    <t xml:space="preserve">M60018005</t>
  </si>
  <si>
    <t xml:space="preserve">[箱裝]Sheba 希寶 主食金罐 鮮湯鮪魚 + 蝦湯汁, 85g, 24罐, 1箱</t>
  </si>
  <si>
    <t xml:space="preserve">M10201246-1</t>
  </si>
  <si>
    <t xml:space="preserve">(M)-
(E)2027-08-27</t>
  </si>
  <si>
    <t xml:space="preserve">276560586178560</t>
  </si>
  <si>
    <t xml:space="preserve">19334214023967</t>
  </si>
  <si>
    <t xml:space="preserve">M60018011</t>
  </si>
  <si>
    <t xml:space="preserve">[箱裝]Sheba 希寶 金罐 鮮煮雞胸肉湯汁, 85g, 24罐, 1箱</t>
  </si>
  <si>
    <t xml:space="preserve">M10201250-1</t>
  </si>
  <si>
    <t xml:space="preserve">(M)2025-09-02
(E)2027-09-02</t>
  </si>
  <si>
    <t xml:space="preserve">(M)2025-09-02
(E)2027-09-01</t>
  </si>
  <si>
    <t xml:space="preserve">522244895791655</t>
  </si>
  <si>
    <t xml:space="preserve">16914973706351</t>
  </si>
  <si>
    <t xml:space="preserve">M10403198</t>
  </si>
  <si>
    <t xml:space="preserve">[箱裝]Sheba 希寶 主食貓罐頭 雞肉慕斯佐羊心, 70g, 24罐, 1箱</t>
  </si>
  <si>
    <t xml:space="preserve">13000000461250</t>
  </si>
  <si>
    <t xml:space="preserve">122903790043139</t>
  </si>
  <si>
    <t xml:space="preserve">4710716336916</t>
  </si>
  <si>
    <t xml:space="preserve">Skittles 彩虹糖量販包, 混合水果口味, 135g, 1袋</t>
  </si>
  <si>
    <t xml:space="preserve">154080831815680</t>
  </si>
  <si>
    <t xml:space="preserve">4718201210833</t>
  </si>
  <si>
    <t xml:space="preserve">M60020625</t>
  </si>
  <si>
    <t xml:space="preserve">[組出] Airwaves 超涼無糖口香糖 冷萃咖啡口味, 28g, 10包</t>
  </si>
  <si>
    <t xml:space="preserve">M10253962</t>
  </si>
  <si>
    <t xml:space="preserve">154080831815683</t>
  </si>
  <si>
    <t xml:space="preserve">4710716334899</t>
  </si>
  <si>
    <t xml:space="preserve">M60019819</t>
  </si>
  <si>
    <t xml:space="preserve">[組出] Airwaves 超涼無糖口香糖 超值包 極酷薄荷口味, 62g, 10包, 1盒</t>
  </si>
  <si>
    <t xml:space="preserve">M10254104</t>
  </si>
  <si>
    <t xml:space="preserve">154081616166912</t>
  </si>
  <si>
    <t xml:space="preserve">4710716337166</t>
  </si>
  <si>
    <t xml:space="preserve">[組出] Extra 益齒達 潔淨無糖口香糖 薄荷口味, 62g, 10包, 1盒</t>
  </si>
  <si>
    <t xml:space="preserve">260931229548545</t>
  </si>
  <si>
    <t xml:space="preserve">4710716334233</t>
  </si>
  <si>
    <t xml:space="preserve">M60020649</t>
  </si>
  <si>
    <t xml:space="preserve">[組出] Airwaves 超涼無糖口香糖 超值包 蜂蜜檸檬口味, 62g, 10包, 1盒</t>
  </si>
  <si>
    <t xml:space="preserve">M10254017</t>
  </si>
  <si>
    <t xml:space="preserve">334483190398977</t>
  </si>
  <si>
    <t xml:space="preserve">4718201215791</t>
  </si>
  <si>
    <t xml:space="preserve">[組出] eclipse 易口舒 草本潤喉薄荷糖 枇杷秋梨口味, 30g, 8盒</t>
  </si>
  <si>
    <t xml:space="preserve">402654945591296</t>
  </si>
  <si>
    <t xml:space="preserve">4718201216262</t>
  </si>
  <si>
    <t xml:space="preserve">M10236022</t>
  </si>
  <si>
    <t xml:space="preserve">Airwaves 超涼薄荷錠, 酷涼薄荷口味, 24.3g, 8個</t>
  </si>
  <si>
    <t xml:space="preserve">(M)2026-04-09
(E)2027-04-08</t>
  </si>
  <si>
    <t xml:space="preserve">13000000454931</t>
  </si>
  <si>
    <t xml:space="preserve">522244896204832</t>
  </si>
  <si>
    <t xml:space="preserve">04710104020922</t>
  </si>
  <si>
    <t xml:space="preserve">0109047</t>
  </si>
  <si>
    <t xml:space="preserve">[箱裝]五月花 嬰兒柔濕巾 超厚型, 200 x 150mm, 516g, 80抽, 3包, 8組</t>
  </si>
  <si>
    <t xml:space="preserve">13000000452531</t>
  </si>
  <si>
    <t xml:space="preserve">(M)-
(E)2029-03-01</t>
  </si>
  <si>
    <t xml:space="preserve">13000000447509</t>
  </si>
  <si>
    <t xml:space="preserve">(M)-
(E)2028-03-01</t>
  </si>
  <si>
    <t xml:space="preserve">13000000447411</t>
  </si>
  <si>
    <t xml:space="preserve">(M)2024-03-04
(E)2029-03-02</t>
  </si>
  <si>
    <t xml:space="preserve">13000000447244</t>
  </si>
  <si>
    <t xml:space="preserve">13000000413991</t>
  </si>
  <si>
    <t xml:space="preserve">13000000413894</t>
  </si>
  <si>
    <t xml:space="preserve">13000000411472</t>
  </si>
  <si>
    <t xml:space="preserve">13000000511165</t>
  </si>
  <si>
    <t xml:space="preserve">MPO_260902_MPO Application_Baby &amp; HPC</t>
  </si>
  <si>
    <t xml:space="preserve">13000000487971</t>
  </si>
  <si>
    <t xml:space="preserve">522244896297747</t>
  </si>
  <si>
    <t xml:space="preserve">4987176372079</t>
  </si>
  <si>
    <t xml:space="preserve">whisper 好自在 液體衛生棉 9片 9包 + 清新淨味液體衛生棉 9片 3包, 29.5cm + 31.7cm, 108片, 1套</t>
  </si>
  <si>
    <t xml:space="preserve">522244896297752</t>
  </si>
  <si>
    <t xml:space="preserve">4987176372284</t>
  </si>
  <si>
    <t xml:space="preserve">whisper 好自在 液體衛生棉 18片 5包 + 清新淨味液體衛生棉 9片 2包, 24cm, 108片, 1套</t>
  </si>
  <si>
    <t xml:space="preserve">13000000500776</t>
  </si>
  <si>
    <t xml:space="preserve">MPO_260831_原訂單13000000469795</t>
  </si>
  <si>
    <t xml:space="preserve">13000000504419</t>
  </si>
  <si>
    <t xml:space="preserve">522244896295350</t>
  </si>
  <si>
    <t xml:space="preserve">4987176369383</t>
  </si>
  <si>
    <t xml:space="preserve">[DS]whisper 好自在 台灣公司貨 Air Dry Fresh 純棉衛生棉 日用輕量型, 18cm, 12片, 22包</t>
  </si>
  <si>
    <t xml:space="preserve">13000000504393</t>
  </si>
  <si>
    <t xml:space="preserve">13000000504363</t>
  </si>
  <si>
    <t xml:space="preserve">301969658855425</t>
  </si>
  <si>
    <t xml:space="preserve">4710908003152</t>
  </si>
  <si>
    <t xml:space="preserve">[箱裝]橘子工坊 個人清潔類變色泡泡洗手慕斯350ml*12瓶</t>
  </si>
  <si>
    <t xml:space="preserve">暫緩調整</t>
  </si>
  <si>
    <t xml:space="preserve">(M)-
(E)2028-03-19</t>
  </si>
  <si>
    <t xml:space="preserve">13000000501773</t>
  </si>
  <si>
    <t xml:space="preserve">Split_原訂單13000000435216</t>
  </si>
  <si>
    <t xml:space="preserve">13000000498986</t>
  </si>
  <si>
    <t xml:space="preserve">13000000498929</t>
  </si>
  <si>
    <t xml:space="preserve">13000000452634</t>
  </si>
  <si>
    <t xml:space="preserve">522244896166679</t>
  </si>
  <si>
    <t xml:space="preserve">14987176340907</t>
  </si>
  <si>
    <t xml:space="preserve">[箱裝][DS]ARIEL 台灣公司貨 超濃縮 新升級 抗菌洗衣精補充包, 抗菌去漬型, 1690g, 6包</t>
  </si>
  <si>
    <t xml:space="preserve">13000000497733</t>
  </si>
  <si>
    <t xml:space="preserve">13000000493999</t>
  </si>
  <si>
    <t xml:space="preserve">(M)2025-12-10
(E)2027-06-07</t>
  </si>
  <si>
    <t xml:space="preserve">Split_原訂單13000000472576</t>
  </si>
  <si>
    <t xml:space="preserve">13000000493104</t>
  </si>
  <si>
    <t xml:space="preserve">13000000493012</t>
  </si>
  <si>
    <t xml:space="preserve">13000000489872</t>
  </si>
  <si>
    <t xml:space="preserve">522244896461439</t>
  </si>
  <si>
    <t xml:space="preserve">RTW892960414121</t>
  </si>
  <si>
    <t xml:space="preserve">TC_[贈品]Cesar 西莎 自然素材餐盒, 85g, 健康野菜放牧雞, 1個</t>
  </si>
  <si>
    <t xml:space="preserve">MPO_Freebie</t>
  </si>
  <si>
    <t xml:space="preserve">13000000489765</t>
  </si>
  <si>
    <t xml:space="preserve">Split_原訂單13000000447509 13000000447244</t>
  </si>
  <si>
    <t xml:space="preserve">13000000489075</t>
  </si>
  <si>
    <t xml:space="preserve">(M)2025-12-31
(E)2027-06-28</t>
  </si>
  <si>
    <t xml:space="preserve">13000000489042</t>
  </si>
  <si>
    <t xml:space="preserve">(M)-
(E)2028-09-27</t>
  </si>
  <si>
    <t xml:space="preserve">13000000488241</t>
  </si>
  <si>
    <t xml:space="preserve">13000000488153</t>
  </si>
  <si>
    <t xml:space="preserve">13000000488058</t>
  </si>
  <si>
    <t xml:space="preserve">13000000487179</t>
  </si>
  <si>
    <t xml:space="preserve">(M)2026-04-09
(E)2027-04-07</t>
  </si>
  <si>
    <t xml:space="preserve">13000000485921</t>
  </si>
  <si>
    <t xml:space="preserve">13000000478170</t>
  </si>
  <si>
    <t xml:space="preserve">13000000477337</t>
  </si>
  <si>
    <t xml:space="preserve">MPO_260821_MPO Application_Baby &amp; HPC</t>
  </si>
  <si>
    <t xml:space="preserve">13000000472911</t>
  </si>
  <si>
    <t xml:space="preserve">13000000472578</t>
  </si>
  <si>
    <t xml:space="preserve">13000000472577</t>
  </si>
  <si>
    <t xml:space="preserve">13000000472574</t>
  </si>
  <si>
    <t xml:space="preserve">522244896444091</t>
  </si>
  <si>
    <t xml:space="preserve">DNU4987176386762</t>
  </si>
  <si>
    <t xml:space="preserve">國條錯誤</t>
  </si>
  <si>
    <t xml:space="preserve">Pampers 幫寶適 原廠公司貨 極上守護 一級幫黏貼型護膚尿布/紙尿褲, 小碼 (S), 66片</t>
  </si>
  <si>
    <t xml:space="preserve">522244896444092</t>
  </si>
  <si>
    <t xml:space="preserve">DNU4987176386724</t>
  </si>
  <si>
    <t xml:space="preserve">Pampers 幫寶適 原廠公司貨 極上守護 一級幫散熱拉拉褲/褲型尿布, 中碼 (M), 50片</t>
  </si>
  <si>
    <t xml:space="preserve">13000000472497</t>
  </si>
  <si>
    <t xml:space="preserve">472911148171265</t>
  </si>
  <si>
    <t xml:space="preserve">4710104020915</t>
  </si>
  <si>
    <t xml:space="preserve">五月花 嬰兒柔濕巾 超厚型, 200 x 150mm, 516g, 80抽, 3包</t>
  </si>
  <si>
    <t xml:space="preserve">13000000472445</t>
  </si>
  <si>
    <t xml:space="preserve">13000000469930</t>
  </si>
  <si>
    <t xml:space="preserve">205548943261696</t>
  </si>
  <si>
    <t xml:space="preserve">4712318590949</t>
  </si>
  <si>
    <t xml:space="preserve">[箱裝] 橘子工坊 食器妙用清潔粉, 450g, 12入, 1箱</t>
  </si>
  <si>
    <t xml:space="preserve">205549635354628</t>
  </si>
  <si>
    <t xml:space="preserve">4712318592233</t>
  </si>
  <si>
    <t xml:space="preserve">[箱裝] ORANGE HOUSE 橘子工坊 溫和除菌碗盤洗滌液補充包, 500ml, 12包, 1箱</t>
  </si>
  <si>
    <t xml:space="preserve">205549660520450</t>
  </si>
  <si>
    <t xml:space="preserve">4712318591977</t>
  </si>
  <si>
    <t xml:space="preserve">[箱裝]橘子工坊 天然濃縮洗衣粉環保包 制菌力99.9%, 1350g, 6包, 1箱</t>
  </si>
  <si>
    <t xml:space="preserve">13000000469809</t>
  </si>
  <si>
    <t xml:space="preserve">278375939653632</t>
  </si>
  <si>
    <t xml:space="preserve">4710104009149</t>
  </si>
  <si>
    <t xml:space="preserve">[箱裝]五月花 妙用廚房紙巾 112張, 48捲</t>
  </si>
  <si>
    <t xml:space="preserve">超材168.8  // 包裝升級(舊料號0104048順轉)</t>
  </si>
  <si>
    <t xml:space="preserve">278375939653637</t>
  </si>
  <si>
    <t xml:space="preserve">4710104008470</t>
  </si>
  <si>
    <t xml:space="preserve">[箱裝]五月花 親肌感盒面 160張, 5盒, 10組, 1箱</t>
  </si>
  <si>
    <t xml:space="preserve">超材158</t>
  </si>
  <si>
    <t xml:space="preserve">278376992456706</t>
  </si>
  <si>
    <t xml:space="preserve">4710104008234</t>
  </si>
  <si>
    <t xml:space="preserve">0105033</t>
  </si>
  <si>
    <t xml:space="preserve">[箱裝]五月花 捲筒式 柔韌版, 270張, 6捲, 16袋, 1箱</t>
  </si>
  <si>
    <t xml:space="preserve">13000000469792</t>
  </si>
  <si>
    <t xml:space="preserve">150853541396480</t>
  </si>
  <si>
    <t xml:space="preserve">4710104024388</t>
  </si>
  <si>
    <t xml:space="preserve">0202083</t>
  </si>
  <si>
    <t xml:space="preserve">02-柔情</t>
  </si>
  <si>
    <t xml:space="preserve">柔情 抽取式衛生紙 熊熊經典款, 100抽, 24包, 1袋</t>
  </si>
  <si>
    <t xml:space="preserve">13000000469751</t>
  </si>
  <si>
    <t xml:space="preserve">13000000468025</t>
  </si>
  <si>
    <t xml:space="preserve">13000000467887</t>
  </si>
  <si>
    <t xml:space="preserve">(M)2026-04-10
(E)2027-04-08</t>
  </si>
  <si>
    <t xml:space="preserve">13000000467663</t>
  </si>
  <si>
    <t xml:space="preserve">13000000458869</t>
  </si>
  <si>
    <t xml:space="preserve">MPO_260814_MPO Application_Baby &amp; HPC</t>
  </si>
  <si>
    <t xml:space="preserve">13000000458828</t>
  </si>
  <si>
    <t xml:space="preserve">522244896412250</t>
  </si>
  <si>
    <t xml:space="preserve">14987176039504</t>
  </si>
  <si>
    <t xml:space="preserve">[箱裝]Gillette 吉列 Venus 維納斯 敏感肌適用除毛刀頭, 4個裝, 4套</t>
  </si>
  <si>
    <t xml:space="preserve">(M)2024-03-18
(E)2029-03-16</t>
  </si>
  <si>
    <t xml:space="preserve">13000000452503</t>
  </si>
  <si>
    <t xml:space="preserve">13000000452440</t>
  </si>
</sst>
</file>

<file path=xl/styles.xml><?xml version="1.0" encoding="utf-8"?>
<styleSheet xmlns="http://schemas.openxmlformats.org/spreadsheetml/2006/main">
  <numFmts count="1">
    <numFmt numFmtId="165" formatCode="yyyy/MM/dd"/>
  </numFmts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3">
    <xf numFmtId="0" fontId="0" fillId="0" borderId="0" applyNumberFormat="0" applyFill="0" applyAlignment="0" applyProtection="0"/>
    <xf numFmtId="2" fontId="0" fillId="0" borderId="0" applyNumberFormat="1" applyFill="0" applyAlignment="0" applyProtection="0"/>
    <xf numFmtId="165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10.1328125" style="0" bestFit="1" customWidth="1" collapsed="1"/>
    <col min="3" max="3" width="16.9296875" style="0" bestFit="1" customWidth="1" collapsed="1"/>
    <col min="4" max="4" width="10.53125" style="0" bestFit="1" customWidth="1" collapsed="1"/>
    <col min="5" max="5" width="41.73046875" style="0" bestFit="1" customWidth="1" collapsed="1"/>
    <col min="6" max="6" width="11.33203125" style="0" bestFit="1" customWidth="1" collapsed="1"/>
    <col min="7" max="7" width="4.265625" style="0" bestFit="1" customWidth="1" collapsed="1"/>
    <col min="8" max="8" width="16.9296875" style="0" bestFit="1" customWidth="1" collapsed="1"/>
    <col min="9" max="9" width="18.796875" style="0" bestFit="1" customWidth="1" collapsed="1"/>
    <col min="10" max="10" width="20.3984375" style="0" bestFit="1" customWidth="1" collapsed="1"/>
    <col min="11" max="11" width="27.46484375" style="0" bestFit="1" customWidth="1" collapsed="1"/>
    <col min="12" max="12" width="125.46484375" style="0" bestFit="1" customWidth="1" collapsed="1"/>
    <col min="13" max="13" width="20.6640625" style="0" bestFit="1" customWidth="1" collapsed="1"/>
    <col min="14" max="14" width="10.53125" style="0" bestFit="1" customWidth="1" collapsed="1"/>
    <col min="15" max="15" width="6.1328125" style="0" bestFit="1" customWidth="1" collapsed="1"/>
    <col min="16" max="16" width="8.265625" style="0" bestFit="1" customWidth="1" collapsed="1"/>
    <col min="17" max="17" width="6.1328125" style="0" bestFit="1" customWidth="1" collapsed="1"/>
    <col min="18" max="18" width="20.6640625" style="0" bestFit="1" customWidth="1" collapsed="1"/>
    <col min="19" max="19" width="20.6640625" style="0" bestFit="1" customWidth="1" collapsed="1"/>
    <col min="20" max="20" width="10.53125" style="0" bestFit="1" customWidth="1" collapsed="1"/>
    <col min="21" max="21" width="97.33203125" style="0" bestFit="1" customWidth="1" collapsed="1"/>
    <col min="22" max="22" width="14" style="0" bestFit="1" customWidth="1" collapsed="1"/>
    <col min="23" max="23" width="11.73046875" style="0" bestFit="1" customWidth="1" collapsed="1"/>
    <col min="24" max="24" width="16.9296875" style="0" bestFit="1" customWidth="1" collapsed="1"/>
    <col min="25" max="25" width="14" style="0" bestFit="1" customWidth="1" collapsed="1"/>
    <col min="26" max="26" width="146.1328125" style="0" bestFit="1" customWidth="1" collapsed="1"/>
    <col min="27" max="27" width="10.53125" style="0" bestFit="1" customWidth="1" collapsed="1"/>
    <col min="28" max="28" width="10.53125" style="0" bestFit="1" customWidth="1" collapsed="1"/>
    <col min="29" max="29" width="13.06640625" style="0" bestFit="1" customWidth="1" collapsed="1"/>
    <col min="30" max="30" width="14.265625" style="0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2">
        <v>46281</v>
      </c>
      <c r="G2">
        <v>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>
        <v>116</v>
      </c>
      <c r="N2">
        <v>116</v>
      </c>
      <c r="O2" t="s">
        <v>40</v>
      </c>
      <c r="P2">
        <v>4</v>
      </c>
      <c r="Q2">
        <f>N2/P2</f>
      </c>
      <c r="R2" s="1">
        <v>555</v>
      </c>
      <c r="S2" s="1">
        <v>555</v>
      </c>
      <c r="T2">
        <f>IF(R2=S2,"相符","不相符")</f>
      </c>
      <c r="U2" t="s">
        <v>37</v>
      </c>
      <c r="V2">
        <f>P2*R2</f>
      </c>
      <c r="W2">
        <f>Q2*V2</f>
      </c>
      <c r="X2">
        <v>730</v>
      </c>
      <c r="Y2" t="s">
        <v>41</v>
      </c>
      <c r="Z2" t="s">
        <v>42</v>
      </c>
      <c r="AA2"/>
      <c r="AB2"/>
      <c r="AC2" t="s">
        <v>43</v>
      </c>
      <c r="AD2"/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s="2">
        <v>46281</v>
      </c>
      <c r="G3">
        <v>2</v>
      </c>
      <c r="H3" t="s">
        <v>44</v>
      </c>
      <c r="I3" t="s">
        <v>45</v>
      </c>
      <c r="J3" t="s">
        <v>46</v>
      </c>
      <c r="K3" t="s">
        <v>38</v>
      </c>
      <c r="L3" t="s">
        <v>47</v>
      </c>
      <c r="M3">
        <v>320</v>
      </c>
      <c r="N3">
        <v>320</v>
      </c>
      <c r="O3" t="s">
        <v>40</v>
      </c>
      <c r="P3">
        <v>10</v>
      </c>
      <c r="Q3">
        <f>N3/P3</f>
      </c>
      <c r="R3" s="1">
        <v>277</v>
      </c>
      <c r="S3" s="1">
        <v>277</v>
      </c>
      <c r="T3">
        <f>IF(R3=S3,"相符","不相符")</f>
      </c>
      <c r="U3" t="s">
        <v>48</v>
      </c>
      <c r="V3">
        <f>P3*R3</f>
      </c>
      <c r="W3">
        <f>Q3*V3</f>
      </c>
      <c r="X3">
        <v>730</v>
      </c>
      <c r="Y3" t="s">
        <v>41</v>
      </c>
      <c r="Z3" t="s">
        <v>42</v>
      </c>
      <c r="AA3"/>
      <c r="AB3"/>
      <c r="AC3" t="s">
        <v>49</v>
      </c>
      <c r="AD3"/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s="2">
        <v>46281</v>
      </c>
      <c r="G4">
        <v>3</v>
      </c>
      <c r="H4" t="s">
        <v>50</v>
      </c>
      <c r="I4" t="s">
        <v>51</v>
      </c>
      <c r="J4" t="s">
        <v>52</v>
      </c>
      <c r="K4" t="s">
        <v>38</v>
      </c>
      <c r="L4" t="s">
        <v>53</v>
      </c>
      <c r="M4">
        <v>80</v>
      </c>
      <c r="N4">
        <v>80</v>
      </c>
      <c r="O4" t="s">
        <v>40</v>
      </c>
      <c r="P4">
        <v>4</v>
      </c>
      <c r="Q4">
        <f>N4/P4</f>
      </c>
      <c r="R4" s="1">
        <v>555</v>
      </c>
      <c r="S4" s="1">
        <v>555</v>
      </c>
      <c r="T4">
        <f>IF(R4=S4,"相符","不相符")</f>
      </c>
      <c r="U4" t="s">
        <v>52</v>
      </c>
      <c r="V4">
        <f>P4*R4</f>
      </c>
      <c r="W4">
        <f>Q4*V4</f>
      </c>
      <c r="X4">
        <v>730</v>
      </c>
      <c r="Y4" t="s">
        <v>41</v>
      </c>
      <c r="Z4" t="s">
        <v>42</v>
      </c>
      <c r="AA4"/>
      <c r="AB4"/>
      <c r="AC4" t="s">
        <v>43</v>
      </c>
      <c r="AD4"/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46281</v>
      </c>
      <c r="G5">
        <v>4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>
        <v>104</v>
      </c>
      <c r="N5">
        <v>102</v>
      </c>
      <c r="O5" t="s">
        <v>40</v>
      </c>
      <c r="P5">
        <v>6</v>
      </c>
      <c r="Q5">
        <f>N5/P5</f>
      </c>
      <c r="R5" s="1">
        <v>129</v>
      </c>
      <c r="S5" s="1">
        <v>129</v>
      </c>
      <c r="T5">
        <f>IF(R5=S5,"相符","不相符")</f>
      </c>
      <c r="U5" t="s">
        <v>56</v>
      </c>
      <c r="V5">
        <f>P5*R5</f>
      </c>
      <c r="W5">
        <f>Q5*V5</f>
      </c>
      <c r="X5">
        <v>540</v>
      </c>
      <c r="Y5" t="s">
        <v>59</v>
      </c>
      <c r="Z5" t="s">
        <v>42</v>
      </c>
      <c r="AA5"/>
      <c r="AB5"/>
      <c r="AC5" t="s">
        <v>43</v>
      </c>
      <c r="AD5"/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46281</v>
      </c>
      <c r="G6">
        <v>5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>
        <v>204</v>
      </c>
      <c r="N6">
        <v>204</v>
      </c>
      <c r="O6" t="s">
        <v>40</v>
      </c>
      <c r="P6">
        <v>12</v>
      </c>
      <c r="Q6">
        <f>N6/P6</f>
      </c>
      <c r="R6" s="1">
        <v>317</v>
      </c>
      <c r="S6" s="1">
        <v>317</v>
      </c>
      <c r="T6">
        <f>IF(R6=S6,"相符","不相符")</f>
      </c>
      <c r="U6" t="s">
        <v>62</v>
      </c>
      <c r="V6">
        <f>P6*R6</f>
      </c>
      <c r="W6">
        <f>Q6*V6</f>
      </c>
      <c r="X6">
        <v>450</v>
      </c>
      <c r="Y6" t="s">
        <v>65</v>
      </c>
      <c r="Z6" t="s">
        <v>42</v>
      </c>
      <c r="AA6"/>
      <c r="AB6"/>
      <c r="AC6" t="s">
        <v>43</v>
      </c>
      <c r="AD6"/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s="2">
        <v>46281</v>
      </c>
      <c r="G7">
        <v>6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>
        <v>54</v>
      </c>
      <c r="N7">
        <v>52</v>
      </c>
      <c r="O7" t="s">
        <v>40</v>
      </c>
      <c r="P7">
        <v>4</v>
      </c>
      <c r="Q7">
        <f>N7/P7</f>
      </c>
      <c r="R7" s="1">
        <v>731</v>
      </c>
      <c r="S7" s="1">
        <v>731</v>
      </c>
      <c r="T7">
        <f>IF(R7=S7,"相符","不相符")</f>
      </c>
      <c r="U7" t="s">
        <v>71</v>
      </c>
      <c r="V7">
        <f>P7*R7</f>
      </c>
      <c r="W7">
        <f>Q7*V7</f>
      </c>
      <c r="X7">
        <v>540</v>
      </c>
      <c r="Y7" t="s">
        <v>65</v>
      </c>
      <c r="Z7" t="s">
        <v>42</v>
      </c>
      <c r="AA7"/>
      <c r="AB7"/>
      <c r="AC7" t="s">
        <v>43</v>
      </c>
      <c r="AD7"/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s="2">
        <v>46281</v>
      </c>
      <c r="G8">
        <v>7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>
        <v>330</v>
      </c>
      <c r="N8">
        <v>330</v>
      </c>
      <c r="O8" t="s">
        <v>40</v>
      </c>
      <c r="P8">
        <v>30</v>
      </c>
      <c r="Q8">
        <f>N8/P8</f>
      </c>
      <c r="R8" s="1">
        <v>107</v>
      </c>
      <c r="S8" s="1">
        <v>107</v>
      </c>
      <c r="T8">
        <f>IF(R8=S8,"相符","不相符")</f>
      </c>
      <c r="U8" t="s">
        <v>77</v>
      </c>
      <c r="V8">
        <f>P8*R8</f>
      </c>
      <c r="W8">
        <f>Q8*V8</f>
      </c>
      <c r="X8">
        <v>365</v>
      </c>
      <c r="Y8" t="s">
        <v>78</v>
      </c>
      <c r="Z8" t="s">
        <v>42</v>
      </c>
      <c r="AA8"/>
      <c r="AB8"/>
      <c r="AC8" t="s">
        <v>43</v>
      </c>
      <c r="AD8"/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s="2">
        <v>46281</v>
      </c>
      <c r="G9">
        <v>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>
        <v>37</v>
      </c>
      <c r="N9">
        <v>37</v>
      </c>
      <c r="O9" t="s">
        <v>84</v>
      </c>
      <c r="P9">
        <v>1</v>
      </c>
      <c r="Q9">
        <f>N9/P9</f>
      </c>
      <c r="R9" s="1">
        <v>438</v>
      </c>
      <c r="S9" s="1">
        <v>438</v>
      </c>
      <c r="T9">
        <f>IF(R9=S9,"相符","不相符")</f>
      </c>
      <c r="U9" t="s">
        <v>85</v>
      </c>
      <c r="V9">
        <f>P9*R9</f>
      </c>
      <c r="W9">
        <f>Q9*V9</f>
      </c>
      <c r="X9">
        <v>730</v>
      </c>
      <c r="Y9" t="s">
        <v>86</v>
      </c>
      <c r="Z9" t="s">
        <v>42</v>
      </c>
      <c r="AA9"/>
      <c r="AB9"/>
      <c r="AC9" t="s">
        <v>43</v>
      </c>
      <c r="AD9"/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s="2">
        <v>46281</v>
      </c>
      <c r="G10">
        <v>9</v>
      </c>
      <c r="H10" t="s">
        <v>87</v>
      </c>
      <c r="I10" t="s">
        <v>88</v>
      </c>
      <c r="J10" t="s">
        <v>89</v>
      </c>
      <c r="K10" t="s">
        <v>82</v>
      </c>
      <c r="L10" t="s">
        <v>90</v>
      </c>
      <c r="M10">
        <v>109</v>
      </c>
      <c r="N10">
        <v>109</v>
      </c>
      <c r="O10" t="s">
        <v>84</v>
      </c>
      <c r="P10">
        <v>1</v>
      </c>
      <c r="Q10">
        <f>N10/P10</f>
      </c>
      <c r="R10" s="1">
        <v>438</v>
      </c>
      <c r="S10" s="1">
        <v>438</v>
      </c>
      <c r="T10">
        <f>IF(R10=S10,"相符","不相符")</f>
      </c>
      <c r="U10" t="s">
        <v>91</v>
      </c>
      <c r="V10">
        <f>P10*R10</f>
      </c>
      <c r="W10">
        <f>Q10*V10</f>
      </c>
      <c r="X10">
        <v>730</v>
      </c>
      <c r="Y10" t="s">
        <v>41</v>
      </c>
      <c r="Z10" t="s">
        <v>42</v>
      </c>
      <c r="AA10"/>
      <c r="AB10"/>
      <c r="AC10" t="s">
        <v>43</v>
      </c>
      <c r="AD10"/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46281</v>
      </c>
      <c r="G11">
        <v>10</v>
      </c>
      <c r="H11" t="s">
        <v>92</v>
      </c>
      <c r="I11" t="s">
        <v>93</v>
      </c>
      <c r="J11" t="s">
        <v>94</v>
      </c>
      <c r="K11" t="s">
        <v>82</v>
      </c>
      <c r="L11" t="s">
        <v>95</v>
      </c>
      <c r="M11">
        <v>37</v>
      </c>
      <c r="N11">
        <v>37</v>
      </c>
      <c r="O11" t="s">
        <v>84</v>
      </c>
      <c r="P11">
        <v>1</v>
      </c>
      <c r="Q11">
        <f>N11/P11</f>
      </c>
      <c r="R11" s="1">
        <v>438</v>
      </c>
      <c r="S11" s="1">
        <v>438</v>
      </c>
      <c r="T11">
        <f>IF(R11=S11,"相符","不相符")</f>
      </c>
      <c r="U11" t="s">
        <v>94</v>
      </c>
      <c r="V11">
        <f>P11*R11</f>
      </c>
      <c r="W11">
        <f>Q11*V11</f>
      </c>
      <c r="X11">
        <v>730</v>
      </c>
      <c r="Y11" t="s">
        <v>96</v>
      </c>
      <c r="Z11" t="s">
        <v>42</v>
      </c>
      <c r="AA11"/>
      <c r="AB11"/>
      <c r="AC11" t="s">
        <v>43</v>
      </c>
      <c r="AD11"/>
    </row>
    <row r="12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46281</v>
      </c>
      <c r="G12">
        <v>11</v>
      </c>
      <c r="H12" t="s">
        <v>97</v>
      </c>
      <c r="I12" t="s">
        <v>98</v>
      </c>
      <c r="J12" t="s">
        <v>99</v>
      </c>
      <c r="K12" t="s">
        <v>82</v>
      </c>
      <c r="L12" t="s">
        <v>100</v>
      </c>
      <c r="M12">
        <v>126</v>
      </c>
      <c r="N12">
        <v>126</v>
      </c>
      <c r="O12" t="s">
        <v>84</v>
      </c>
      <c r="P12">
        <v>1</v>
      </c>
      <c r="Q12">
        <f>N12/P12</f>
      </c>
      <c r="R12" s="1">
        <v>635</v>
      </c>
      <c r="S12" s="1">
        <v>635</v>
      </c>
      <c r="T12">
        <f>IF(R12=S12,"相符","不相符")</f>
      </c>
      <c r="U12" t="s">
        <v>101</v>
      </c>
      <c r="V12">
        <f>P12*R12</f>
      </c>
      <c r="W12">
        <f>Q12*V12</f>
      </c>
      <c r="X12">
        <v>730</v>
      </c>
      <c r="Y12" t="s">
        <v>102</v>
      </c>
      <c r="Z12" t="s">
        <v>42</v>
      </c>
      <c r="AA12"/>
      <c r="AB12"/>
      <c r="AC12" t="s">
        <v>49</v>
      </c>
      <c r="AD12"/>
    </row>
    <row r="13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46281</v>
      </c>
      <c r="G13">
        <v>12</v>
      </c>
      <c r="H13" t="s">
        <v>103</v>
      </c>
      <c r="I13" t="s">
        <v>104</v>
      </c>
      <c r="J13" t="s">
        <v>105</v>
      </c>
      <c r="K13" t="s">
        <v>69</v>
      </c>
      <c r="L13" t="s">
        <v>106</v>
      </c>
      <c r="M13">
        <v>22</v>
      </c>
      <c r="N13">
        <v>20</v>
      </c>
      <c r="O13" t="s">
        <v>40</v>
      </c>
      <c r="P13">
        <v>4</v>
      </c>
      <c r="Q13">
        <f>N13/P13</f>
      </c>
      <c r="R13" s="1">
        <v>731</v>
      </c>
      <c r="S13" s="1">
        <v>731</v>
      </c>
      <c r="T13">
        <f>IF(R13=S13,"相符","不相符")</f>
      </c>
      <c r="U13" t="s">
        <v>107</v>
      </c>
      <c r="V13">
        <f>P13*R13</f>
      </c>
      <c r="W13">
        <f>Q13*V13</f>
      </c>
      <c r="X13">
        <v>540</v>
      </c>
      <c r="Y13" t="s">
        <v>65</v>
      </c>
      <c r="Z13" t="s">
        <v>42</v>
      </c>
      <c r="AA13"/>
      <c r="AB13"/>
      <c r="AC13" t="s">
        <v>43</v>
      </c>
      <c r="AD13"/>
    </row>
    <row r="14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s="2">
        <v>46281</v>
      </c>
      <c r="G14">
        <v>13</v>
      </c>
      <c r="H14" t="s">
        <v>108</v>
      </c>
      <c r="I14" t="s">
        <v>109</v>
      </c>
      <c r="J14" t="s">
        <v>110</v>
      </c>
      <c r="K14" t="s">
        <v>57</v>
      </c>
      <c r="L14" t="s">
        <v>111</v>
      </c>
      <c r="M14">
        <v>148</v>
      </c>
      <c r="N14">
        <v>148</v>
      </c>
      <c r="O14" t="s">
        <v>84</v>
      </c>
      <c r="P14">
        <v>1</v>
      </c>
      <c r="Q14">
        <f>N14/P14</f>
      </c>
      <c r="R14" s="1">
        <v>394</v>
      </c>
      <c r="S14" s="1">
        <v>394</v>
      </c>
      <c r="T14">
        <f>IF(R14=S14,"相符","不相符")</f>
      </c>
      <c r="U14" t="s">
        <v>110</v>
      </c>
      <c r="V14">
        <f>P14*R14</f>
      </c>
      <c r="W14">
        <f>Q14*V14</f>
      </c>
      <c r="X14">
        <v>730</v>
      </c>
      <c r="Y14" t="s">
        <v>41</v>
      </c>
      <c r="Z14" t="s">
        <v>42</v>
      </c>
      <c r="AA14"/>
      <c r="AB14"/>
      <c r="AC14" t="s">
        <v>43</v>
      </c>
      <c r="AD14"/>
    </row>
    <row r="15">
      <c r="A15" t="s">
        <v>30</v>
      </c>
      <c r="B15" t="s">
        <v>31</v>
      </c>
      <c r="C15" t="s">
        <v>32</v>
      </c>
      <c r="D15" t="s">
        <v>33</v>
      </c>
      <c r="E15" t="s">
        <v>34</v>
      </c>
      <c r="F15" s="2">
        <v>46281</v>
      </c>
      <c r="G15">
        <v>14</v>
      </c>
      <c r="H15" t="s">
        <v>112</v>
      </c>
      <c r="I15" t="s">
        <v>113</v>
      </c>
      <c r="J15" t="s">
        <v>114</v>
      </c>
      <c r="K15" t="s">
        <v>82</v>
      </c>
      <c r="L15" t="s">
        <v>115</v>
      </c>
      <c r="M15">
        <v>113</v>
      </c>
      <c r="N15">
        <v>113</v>
      </c>
      <c r="O15" t="s">
        <v>84</v>
      </c>
      <c r="P15">
        <v>1</v>
      </c>
      <c r="Q15">
        <f>N15/P15</f>
      </c>
      <c r="R15" s="1">
        <v>635</v>
      </c>
      <c r="S15" s="1">
        <v>635</v>
      </c>
      <c r="T15">
        <f>IF(R15=S15,"相符","不相符")</f>
      </c>
      <c r="U15" t="s">
        <v>114</v>
      </c>
      <c r="V15">
        <f>P15*R15</f>
      </c>
      <c r="W15">
        <f>Q15*V15</f>
      </c>
      <c r="X15">
        <v>730</v>
      </c>
      <c r="Y15" t="s">
        <v>116</v>
      </c>
      <c r="Z15" t="s">
        <v>42</v>
      </c>
      <c r="AA15"/>
      <c r="AB15"/>
      <c r="AC15" t="s">
        <v>43</v>
      </c>
      <c r="AD15"/>
    </row>
    <row r="16">
      <c r="A16" t="s">
        <v>30</v>
      </c>
      <c r="B16" t="s">
        <v>31</v>
      </c>
      <c r="C16" t="s">
        <v>117</v>
      </c>
      <c r="D16" t="s">
        <v>33</v>
      </c>
      <c r="E16" t="s">
        <v>34</v>
      </c>
      <c r="F16" s="2">
        <v>46281</v>
      </c>
      <c r="G16">
        <v>1</v>
      </c>
      <c r="H16" t="s">
        <v>118</v>
      </c>
      <c r="I16" t="s">
        <v>119</v>
      </c>
      <c r="J16" t="s">
        <v>120</v>
      </c>
      <c r="K16" t="s">
        <v>121</v>
      </c>
      <c r="L16" t="s">
        <v>122</v>
      </c>
      <c r="M16">
        <v>49</v>
      </c>
      <c r="N16">
        <v>30</v>
      </c>
      <c r="O16" t="s">
        <v>40</v>
      </c>
      <c r="P16">
        <v>30</v>
      </c>
      <c r="Q16">
        <f>N16/P16</f>
      </c>
      <c r="R16" s="1">
        <v>99</v>
      </c>
      <c r="S16" s="1">
        <v>99</v>
      </c>
      <c r="T16">
        <f>IF(R16=S16,"相符","不相符")</f>
      </c>
      <c r="U16" t="s">
        <v>120</v>
      </c>
      <c r="V16">
        <f>P16*R16</f>
      </c>
      <c r="W16">
        <f>Q16*V16</f>
      </c>
      <c r="X16">
        <v>365</v>
      </c>
      <c r="Y16" t="s">
        <v>78</v>
      </c>
      <c r="Z16" t="s">
        <v>123</v>
      </c>
      <c r="AA16"/>
      <c r="AB16"/>
      <c r="AC16" t="s">
        <v>43</v>
      </c>
      <c r="AD16"/>
    </row>
    <row r="17">
      <c r="A17" t="s">
        <v>30</v>
      </c>
      <c r="B17" t="s">
        <v>31</v>
      </c>
      <c r="C17" t="s">
        <v>124</v>
      </c>
      <c r="D17" t="s">
        <v>33</v>
      </c>
      <c r="E17" t="s">
        <v>34</v>
      </c>
      <c r="F17" s="2">
        <v>46281</v>
      </c>
      <c r="G17">
        <v>1</v>
      </c>
      <c r="H17" t="s">
        <v>125</v>
      </c>
      <c r="I17" t="s">
        <v>126</v>
      </c>
      <c r="J17" t="s">
        <v>127</v>
      </c>
      <c r="K17" t="s">
        <v>57</v>
      </c>
      <c r="L17" t="s">
        <v>128</v>
      </c>
      <c r="M17">
        <v>24</v>
      </c>
      <c r="N17">
        <v>24</v>
      </c>
      <c r="O17" t="s">
        <v>40</v>
      </c>
      <c r="P17">
        <v>6</v>
      </c>
      <c r="Q17">
        <f>N17/P17</f>
      </c>
      <c r="R17" s="1">
        <v>129</v>
      </c>
      <c r="S17" s="1">
        <v>129</v>
      </c>
      <c r="T17">
        <f>IF(R17=S17,"相符","不相符")</f>
      </c>
      <c r="U17" t="s">
        <v>127</v>
      </c>
      <c r="V17">
        <f>P17*R17</f>
      </c>
      <c r="W17">
        <f>Q17*V17</f>
      </c>
      <c r="X17">
        <v>540</v>
      </c>
      <c r="Y17" t="s">
        <v>65</v>
      </c>
      <c r="Z17" t="s">
        <v>42</v>
      </c>
      <c r="AA17"/>
      <c r="AB17"/>
      <c r="AC17" t="s">
        <v>43</v>
      </c>
      <c r="AD17"/>
    </row>
    <row r="18">
      <c r="A18" t="s">
        <v>30</v>
      </c>
      <c r="B18" t="s">
        <v>31</v>
      </c>
      <c r="C18" t="s">
        <v>124</v>
      </c>
      <c r="D18" t="s">
        <v>33</v>
      </c>
      <c r="E18" t="s">
        <v>34</v>
      </c>
      <c r="F18" s="2">
        <v>46281</v>
      </c>
      <c r="G18">
        <v>2</v>
      </c>
      <c r="H18" t="s">
        <v>129</v>
      </c>
      <c r="I18" t="s">
        <v>130</v>
      </c>
      <c r="J18" t="s">
        <v>131</v>
      </c>
      <c r="K18" t="s">
        <v>38</v>
      </c>
      <c r="L18" t="s">
        <v>132</v>
      </c>
      <c r="M18">
        <v>90</v>
      </c>
      <c r="N18">
        <v>90</v>
      </c>
      <c r="O18" t="s">
        <v>40</v>
      </c>
      <c r="P18">
        <v>10</v>
      </c>
      <c r="Q18">
        <f>N18/P18</f>
      </c>
      <c r="R18" s="1">
        <v>277</v>
      </c>
      <c r="S18" s="1">
        <v>277</v>
      </c>
      <c r="T18">
        <f>IF(R18=S18,"相符","不相符")</f>
      </c>
      <c r="U18" t="s">
        <v>133</v>
      </c>
      <c r="V18">
        <f>P18*R18</f>
      </c>
      <c r="W18">
        <f>Q18*V18</f>
      </c>
      <c r="X18">
        <v>730</v>
      </c>
      <c r="Y18" t="s">
        <v>41</v>
      </c>
      <c r="Z18" t="s">
        <v>42</v>
      </c>
      <c r="AA18"/>
      <c r="AB18"/>
      <c r="AC18" t="s">
        <v>49</v>
      </c>
      <c r="AD18"/>
    </row>
    <row r="19">
      <c r="A19" t="s">
        <v>30</v>
      </c>
      <c r="B19" t="s">
        <v>31</v>
      </c>
      <c r="C19" t="s">
        <v>124</v>
      </c>
      <c r="D19" t="s">
        <v>33</v>
      </c>
      <c r="E19" t="s">
        <v>34</v>
      </c>
      <c r="F19" s="2">
        <v>46281</v>
      </c>
      <c r="G19">
        <v>3</v>
      </c>
      <c r="H19" t="s">
        <v>134</v>
      </c>
      <c r="I19" t="s">
        <v>135</v>
      </c>
      <c r="J19" t="s">
        <v>136</v>
      </c>
      <c r="K19" t="s">
        <v>38</v>
      </c>
      <c r="L19" t="s">
        <v>137</v>
      </c>
      <c r="M19">
        <v>120</v>
      </c>
      <c r="N19">
        <v>120</v>
      </c>
      <c r="O19" t="s">
        <v>40</v>
      </c>
      <c r="P19">
        <v>10</v>
      </c>
      <c r="Q19">
        <f>N19/P19</f>
      </c>
      <c r="R19" s="1">
        <v>277</v>
      </c>
      <c r="S19" s="1">
        <v>277</v>
      </c>
      <c r="T19">
        <f>IF(R19=S19,"相符","不相符")</f>
      </c>
      <c r="U19" t="s">
        <v>138</v>
      </c>
      <c r="V19">
        <f>P19*R19</f>
      </c>
      <c r="W19">
        <f>Q19*V19</f>
      </c>
      <c r="X19">
        <v>730</v>
      </c>
      <c r="Y19" t="s">
        <v>102</v>
      </c>
      <c r="Z19" t="s">
        <v>42</v>
      </c>
      <c r="AA19"/>
      <c r="AB19"/>
      <c r="AC19" t="s">
        <v>49</v>
      </c>
      <c r="AD19"/>
    </row>
    <row r="20">
      <c r="A20" t="s">
        <v>30</v>
      </c>
      <c r="B20" t="s">
        <v>31</v>
      </c>
      <c r="C20" t="s">
        <v>124</v>
      </c>
      <c r="D20" t="s">
        <v>33</v>
      </c>
      <c r="E20" t="s">
        <v>34</v>
      </c>
      <c r="F20" s="2">
        <v>46281</v>
      </c>
      <c r="G20">
        <v>4</v>
      </c>
      <c r="H20" t="s">
        <v>44</v>
      </c>
      <c r="I20" t="s">
        <v>45</v>
      </c>
      <c r="J20" t="s">
        <v>46</v>
      </c>
      <c r="K20" t="s">
        <v>38</v>
      </c>
      <c r="L20" t="s">
        <v>47</v>
      </c>
      <c r="M20">
        <v>320</v>
      </c>
      <c r="N20">
        <v>320</v>
      </c>
      <c r="O20" t="s">
        <v>40</v>
      </c>
      <c r="P20">
        <v>10</v>
      </c>
      <c r="Q20">
        <f>N20/P20</f>
      </c>
      <c r="R20" s="1">
        <v>277</v>
      </c>
      <c r="S20" s="1">
        <v>277</v>
      </c>
      <c r="T20">
        <f>IF(R20=S20,"相符","不相符")</f>
      </c>
      <c r="U20" t="s">
        <v>48</v>
      </c>
      <c r="V20">
        <f>P20*R20</f>
      </c>
      <c r="W20">
        <f>Q20*V20</f>
      </c>
      <c r="X20">
        <v>730</v>
      </c>
      <c r="Y20" t="s">
        <v>41</v>
      </c>
      <c r="Z20" t="s">
        <v>42</v>
      </c>
      <c r="AA20"/>
      <c r="AB20"/>
      <c r="AC20" t="s">
        <v>49</v>
      </c>
      <c r="AD20"/>
    </row>
    <row r="21">
      <c r="A21" t="s">
        <v>30</v>
      </c>
      <c r="B21" t="s">
        <v>31</v>
      </c>
      <c r="C21" t="s">
        <v>124</v>
      </c>
      <c r="D21" t="s">
        <v>33</v>
      </c>
      <c r="E21" t="s">
        <v>34</v>
      </c>
      <c r="F21" s="2">
        <v>46281</v>
      </c>
      <c r="G21">
        <v>5</v>
      </c>
      <c r="H21" t="s">
        <v>139</v>
      </c>
      <c r="I21" t="s">
        <v>140</v>
      </c>
      <c r="J21" t="s">
        <v>141</v>
      </c>
      <c r="K21" t="s">
        <v>57</v>
      </c>
      <c r="L21" t="s">
        <v>142</v>
      </c>
      <c r="M21">
        <v>78</v>
      </c>
      <c r="N21">
        <v>78</v>
      </c>
      <c r="O21" t="s">
        <v>40</v>
      </c>
      <c r="P21">
        <v>6</v>
      </c>
      <c r="Q21">
        <f>N21/P21</f>
      </c>
      <c r="R21" s="1">
        <v>129</v>
      </c>
      <c r="S21" s="1">
        <v>129</v>
      </c>
      <c r="T21">
        <f>IF(R21=S21,"相符","不相符")</f>
      </c>
      <c r="U21" t="s">
        <v>141</v>
      </c>
      <c r="V21">
        <f>P21*R21</f>
      </c>
      <c r="W21">
        <f>Q21*V21</f>
      </c>
      <c r="X21">
        <v>540</v>
      </c>
      <c r="Y21" t="s">
        <v>65</v>
      </c>
      <c r="Z21" t="s">
        <v>42</v>
      </c>
      <c r="AA21"/>
      <c r="AB21"/>
      <c r="AC21" t="s">
        <v>43</v>
      </c>
      <c r="AD21"/>
    </row>
    <row r="22">
      <c r="A22" t="s">
        <v>30</v>
      </c>
      <c r="B22" t="s">
        <v>31</v>
      </c>
      <c r="C22" t="s">
        <v>124</v>
      </c>
      <c r="D22" t="s">
        <v>33</v>
      </c>
      <c r="E22" t="s">
        <v>34</v>
      </c>
      <c r="F22" s="2">
        <v>46281</v>
      </c>
      <c r="G22">
        <v>6</v>
      </c>
      <c r="H22" t="s">
        <v>143</v>
      </c>
      <c r="I22" t="s">
        <v>144</v>
      </c>
      <c r="J22" t="s">
        <v>145</v>
      </c>
      <c r="K22" t="s">
        <v>57</v>
      </c>
      <c r="L22" t="s">
        <v>146</v>
      </c>
      <c r="M22">
        <v>154</v>
      </c>
      <c r="N22">
        <v>150</v>
      </c>
      <c r="O22" t="s">
        <v>40</v>
      </c>
      <c r="P22">
        <v>6</v>
      </c>
      <c r="Q22">
        <f>N22/P22</f>
      </c>
      <c r="R22" s="1">
        <v>129</v>
      </c>
      <c r="S22" s="1">
        <v>129</v>
      </c>
      <c r="T22">
        <f>IF(R22=S22,"相符","不相符")</f>
      </c>
      <c r="U22" t="s">
        <v>145</v>
      </c>
      <c r="V22">
        <f>P22*R22</f>
      </c>
      <c r="W22">
        <f>Q22*V22</f>
      </c>
      <c r="X22">
        <v>540</v>
      </c>
      <c r="Y22" t="s">
        <v>147</v>
      </c>
      <c r="Z22" t="s">
        <v>42</v>
      </c>
      <c r="AA22"/>
      <c r="AB22"/>
      <c r="AC22" t="s">
        <v>43</v>
      </c>
      <c r="AD22"/>
    </row>
    <row r="23">
      <c r="A23" t="s">
        <v>30</v>
      </c>
      <c r="B23" t="s">
        <v>31</v>
      </c>
      <c r="C23" t="s">
        <v>124</v>
      </c>
      <c r="D23" t="s">
        <v>33</v>
      </c>
      <c r="E23" t="s">
        <v>34</v>
      </c>
      <c r="F23" s="2">
        <v>46281</v>
      </c>
      <c r="G23">
        <v>7</v>
      </c>
      <c r="H23" t="s">
        <v>148</v>
      </c>
      <c r="I23" t="s">
        <v>149</v>
      </c>
      <c r="J23" t="s">
        <v>150</v>
      </c>
      <c r="K23" t="s">
        <v>75</v>
      </c>
      <c r="L23" t="s">
        <v>151</v>
      </c>
      <c r="M23">
        <v>30</v>
      </c>
      <c r="N23">
        <v>30</v>
      </c>
      <c r="O23" t="s">
        <v>40</v>
      </c>
      <c r="P23">
        <v>6</v>
      </c>
      <c r="Q23">
        <f>N23/P23</f>
      </c>
      <c r="R23" s="1">
        <v>511</v>
      </c>
      <c r="S23" s="1">
        <v>511</v>
      </c>
      <c r="T23">
        <f>IF(R23=S23,"相符","不相符")</f>
      </c>
      <c r="U23" t="s">
        <v>152</v>
      </c>
      <c r="V23">
        <f>P23*R23</f>
      </c>
      <c r="W23">
        <f>Q23*V23</f>
      </c>
      <c r="X23">
        <v>365</v>
      </c>
      <c r="Y23" t="s">
        <v>78</v>
      </c>
      <c r="Z23" t="s">
        <v>42</v>
      </c>
      <c r="AA23"/>
      <c r="AB23"/>
      <c r="AC23" t="s">
        <v>43</v>
      </c>
      <c r="AD23"/>
    </row>
    <row r="24">
      <c r="A24" t="s">
        <v>30</v>
      </c>
      <c r="B24" t="s">
        <v>31</v>
      </c>
      <c r="C24" t="s">
        <v>124</v>
      </c>
      <c r="D24" t="s">
        <v>33</v>
      </c>
      <c r="E24" t="s">
        <v>34</v>
      </c>
      <c r="F24" s="2">
        <v>46281</v>
      </c>
      <c r="G24">
        <v>8</v>
      </c>
      <c r="H24" t="s">
        <v>153</v>
      </c>
      <c r="I24" t="s">
        <v>154</v>
      </c>
      <c r="J24" t="s">
        <v>155</v>
      </c>
      <c r="K24" t="s">
        <v>75</v>
      </c>
      <c r="L24" t="s">
        <v>156</v>
      </c>
      <c r="M24">
        <v>228</v>
      </c>
      <c r="N24">
        <v>228</v>
      </c>
      <c r="O24" t="s">
        <v>40</v>
      </c>
      <c r="P24">
        <v>6</v>
      </c>
      <c r="Q24">
        <f>N24/P24</f>
      </c>
      <c r="R24" s="1">
        <v>511</v>
      </c>
      <c r="S24" s="1">
        <v>511</v>
      </c>
      <c r="T24">
        <f>IF(R24=S24,"相符","不相符")</f>
      </c>
      <c r="U24" t="s">
        <v>157</v>
      </c>
      <c r="V24">
        <f>P24*R24</f>
      </c>
      <c r="W24">
        <f>Q24*V24</f>
      </c>
      <c r="X24">
        <v>365</v>
      </c>
      <c r="Y24" t="s">
        <v>78</v>
      </c>
      <c r="Z24" t="s">
        <v>42</v>
      </c>
      <c r="AA24"/>
      <c r="AB24"/>
      <c r="AC24" t="s">
        <v>43</v>
      </c>
      <c r="AD24"/>
    </row>
    <row r="25">
      <c r="A25" t="s">
        <v>30</v>
      </c>
      <c r="B25" t="s">
        <v>31</v>
      </c>
      <c r="C25" t="s">
        <v>124</v>
      </c>
      <c r="D25" t="s">
        <v>33</v>
      </c>
      <c r="E25" t="s">
        <v>34</v>
      </c>
      <c r="F25" s="2">
        <v>46281</v>
      </c>
      <c r="G25">
        <v>9</v>
      </c>
      <c r="H25" t="s">
        <v>158</v>
      </c>
      <c r="I25" t="s">
        <v>159</v>
      </c>
      <c r="J25" t="s">
        <v>160</v>
      </c>
      <c r="K25" t="s">
        <v>161</v>
      </c>
      <c r="L25" t="s">
        <v>162</v>
      </c>
      <c r="M25">
        <v>52</v>
      </c>
      <c r="N25">
        <v>45</v>
      </c>
      <c r="O25" t="s">
        <v>40</v>
      </c>
      <c r="P25">
        <v>15</v>
      </c>
      <c r="Q25">
        <f>N25/P25</f>
      </c>
      <c r="R25" s="1">
        <v>236</v>
      </c>
      <c r="S25" s="1">
        <v>236</v>
      </c>
      <c r="T25">
        <f>IF(R25=S25,"相符","不相符")</f>
      </c>
      <c r="U25" t="s">
        <v>160</v>
      </c>
      <c r="V25">
        <f>P25*R25</f>
      </c>
      <c r="W25">
        <f>Q25*V25</f>
      </c>
      <c r="X25">
        <v>365</v>
      </c>
      <c r="Y25" t="s">
        <v>78</v>
      </c>
      <c r="Z25" t="s">
        <v>42</v>
      </c>
      <c r="AA25"/>
      <c r="AB25"/>
      <c r="AC25" t="s">
        <v>43</v>
      </c>
      <c r="AD25"/>
    </row>
    <row r="26">
      <c r="A26" t="s">
        <v>30</v>
      </c>
      <c r="B26" t="s">
        <v>31</v>
      </c>
      <c r="C26" t="s">
        <v>124</v>
      </c>
      <c r="D26" t="s">
        <v>33</v>
      </c>
      <c r="E26" t="s">
        <v>34</v>
      </c>
      <c r="F26" s="2">
        <v>46281</v>
      </c>
      <c r="G26">
        <v>10</v>
      </c>
      <c r="H26" t="s">
        <v>163</v>
      </c>
      <c r="I26" t="s">
        <v>164</v>
      </c>
      <c r="J26" t="s">
        <v>165</v>
      </c>
      <c r="K26" t="s">
        <v>69</v>
      </c>
      <c r="L26" t="s">
        <v>166</v>
      </c>
      <c r="M26">
        <v>28</v>
      </c>
      <c r="N26">
        <v>28</v>
      </c>
      <c r="O26" t="s">
        <v>40</v>
      </c>
      <c r="P26">
        <v>4</v>
      </c>
      <c r="Q26">
        <f>N26/P26</f>
      </c>
      <c r="R26" s="1">
        <v>731</v>
      </c>
      <c r="S26" s="1">
        <v>731</v>
      </c>
      <c r="T26">
        <f>IF(R26=S26,"相符","不相符")</f>
      </c>
      <c r="U26" t="s">
        <v>167</v>
      </c>
      <c r="V26">
        <f>P26*R26</f>
      </c>
      <c r="W26">
        <f>Q26*V26</f>
      </c>
      <c r="X26">
        <v>540</v>
      </c>
      <c r="Y26" t="s">
        <v>168</v>
      </c>
      <c r="Z26" t="s">
        <v>42</v>
      </c>
      <c r="AA26"/>
      <c r="AB26"/>
      <c r="AC26" t="s">
        <v>43</v>
      </c>
      <c r="AD26"/>
    </row>
    <row r="27">
      <c r="A27" t="s">
        <v>30</v>
      </c>
      <c r="B27" t="s">
        <v>31</v>
      </c>
      <c r="C27" t="s">
        <v>124</v>
      </c>
      <c r="D27" t="s">
        <v>33</v>
      </c>
      <c r="E27" t="s">
        <v>34</v>
      </c>
      <c r="F27" s="2">
        <v>46281</v>
      </c>
      <c r="G27">
        <v>11</v>
      </c>
      <c r="H27" t="s">
        <v>169</v>
      </c>
      <c r="I27" t="s">
        <v>170</v>
      </c>
      <c r="J27" t="s">
        <v>171</v>
      </c>
      <c r="K27" t="s">
        <v>69</v>
      </c>
      <c r="L27" t="s">
        <v>172</v>
      </c>
      <c r="M27">
        <v>4</v>
      </c>
      <c r="N27">
        <v>4</v>
      </c>
      <c r="O27" t="s">
        <v>40</v>
      </c>
      <c r="P27">
        <v>4</v>
      </c>
      <c r="Q27">
        <f>N27/P27</f>
      </c>
      <c r="R27" s="1">
        <v>1170</v>
      </c>
      <c r="S27" s="1">
        <v>1170</v>
      </c>
      <c r="T27">
        <f>IF(R27=S27,"相符","不相符")</f>
      </c>
      <c r="U27" t="s">
        <v>173</v>
      </c>
      <c r="V27">
        <f>P27*R27</f>
      </c>
      <c r="W27">
        <f>Q27*V27</f>
      </c>
      <c r="X27">
        <v>540</v>
      </c>
      <c r="Y27" t="s">
        <v>59</v>
      </c>
      <c r="Z27" t="s">
        <v>42</v>
      </c>
      <c r="AA27"/>
      <c r="AB27"/>
      <c r="AC27" t="s">
        <v>43</v>
      </c>
      <c r="AD27"/>
    </row>
    <row r="28">
      <c r="A28" t="s">
        <v>30</v>
      </c>
      <c r="B28" t="s">
        <v>31</v>
      </c>
      <c r="C28" t="s">
        <v>124</v>
      </c>
      <c r="D28" t="s">
        <v>33</v>
      </c>
      <c r="E28" t="s">
        <v>34</v>
      </c>
      <c r="F28" s="2">
        <v>46281</v>
      </c>
      <c r="G28">
        <v>12</v>
      </c>
      <c r="H28" t="s">
        <v>174</v>
      </c>
      <c r="I28" t="s">
        <v>175</v>
      </c>
      <c r="J28" t="s">
        <v>171</v>
      </c>
      <c r="K28" t="s">
        <v>69</v>
      </c>
      <c r="L28" t="s">
        <v>176</v>
      </c>
      <c r="M28">
        <v>840</v>
      </c>
      <c r="N28">
        <v>840</v>
      </c>
      <c r="O28" t="s">
        <v>177</v>
      </c>
      <c r="P28">
        <v>40</v>
      </c>
      <c r="Q28">
        <f>N28/P28</f>
      </c>
      <c r="R28" s="1">
        <v>117</v>
      </c>
      <c r="S28" s="1">
        <v>117</v>
      </c>
      <c r="T28">
        <f>IF(R28=S28,"相符","不相符")</f>
      </c>
      <c r="U28" t="s">
        <v>173</v>
      </c>
      <c r="V28">
        <f>P28*R28</f>
      </c>
      <c r="W28">
        <f>Q28*V28</f>
      </c>
      <c r="X28">
        <v>540</v>
      </c>
      <c r="Y28" t="s">
        <v>65</v>
      </c>
      <c r="Z28" t="s">
        <v>42</v>
      </c>
      <c r="AA28"/>
      <c r="AB28"/>
      <c r="AC28" t="s">
        <v>43</v>
      </c>
      <c r="AD28"/>
    </row>
    <row r="29">
      <c r="A29" t="s">
        <v>30</v>
      </c>
      <c r="B29" t="s">
        <v>31</v>
      </c>
      <c r="C29" t="s">
        <v>124</v>
      </c>
      <c r="D29" t="s">
        <v>33</v>
      </c>
      <c r="E29" t="s">
        <v>34</v>
      </c>
      <c r="F29" s="2">
        <v>46281</v>
      </c>
      <c r="G29">
        <v>13</v>
      </c>
      <c r="H29" t="s">
        <v>178</v>
      </c>
      <c r="I29" t="s">
        <v>179</v>
      </c>
      <c r="J29" t="s">
        <v>180</v>
      </c>
      <c r="K29" t="s">
        <v>75</v>
      </c>
      <c r="L29" t="s">
        <v>181</v>
      </c>
      <c r="M29">
        <v>84</v>
      </c>
      <c r="N29">
        <v>84</v>
      </c>
      <c r="O29" t="s">
        <v>40</v>
      </c>
      <c r="P29">
        <v>6</v>
      </c>
      <c r="Q29">
        <f>N29/P29</f>
      </c>
      <c r="R29" s="1">
        <v>511</v>
      </c>
      <c r="S29" s="1">
        <v>511</v>
      </c>
      <c r="T29">
        <f>IF(R29=S29,"相符","不相符")</f>
      </c>
      <c r="U29" t="s">
        <v>182</v>
      </c>
      <c r="V29">
        <f>P29*R29</f>
      </c>
      <c r="W29">
        <f>Q29*V29</f>
      </c>
      <c r="X29">
        <v>365</v>
      </c>
      <c r="Y29" t="s">
        <v>183</v>
      </c>
      <c r="Z29" t="s">
        <v>42</v>
      </c>
      <c r="AA29"/>
      <c r="AB29"/>
      <c r="AC29" t="s">
        <v>43</v>
      </c>
      <c r="AD29"/>
    </row>
    <row r="30">
      <c r="A30" t="s">
        <v>30</v>
      </c>
      <c r="B30" t="s">
        <v>31</v>
      </c>
      <c r="C30" t="s">
        <v>124</v>
      </c>
      <c r="D30" t="s">
        <v>33</v>
      </c>
      <c r="E30" t="s">
        <v>34</v>
      </c>
      <c r="F30" s="2">
        <v>46281</v>
      </c>
      <c r="G30">
        <v>14</v>
      </c>
      <c r="H30" t="s">
        <v>184</v>
      </c>
      <c r="I30" t="s">
        <v>185</v>
      </c>
      <c r="J30" t="s">
        <v>186</v>
      </c>
      <c r="K30" t="s">
        <v>69</v>
      </c>
      <c r="L30" t="s">
        <v>187</v>
      </c>
      <c r="M30">
        <v>320</v>
      </c>
      <c r="N30">
        <v>320</v>
      </c>
      <c r="O30" t="s">
        <v>177</v>
      </c>
      <c r="P30">
        <v>40</v>
      </c>
      <c r="Q30">
        <f>N30/P30</f>
      </c>
      <c r="R30" s="1">
        <v>118.2</v>
      </c>
      <c r="S30" s="1">
        <v>118</v>
      </c>
      <c r="T30">
        <f>IF(R30=S30,"相符","不相符")</f>
      </c>
      <c r="U30" t="s">
        <v>186</v>
      </c>
      <c r="V30">
        <f>P30*R30</f>
      </c>
      <c r="W30">
        <f>Q30*V30</f>
      </c>
      <c r="X30">
        <v>540</v>
      </c>
      <c r="Y30" t="s">
        <v>59</v>
      </c>
      <c r="Z30" t="s">
        <v>42</v>
      </c>
      <c r="AA30"/>
      <c r="AB30"/>
      <c r="AC30" t="s">
        <v>43</v>
      </c>
      <c r="AD30"/>
    </row>
    <row r="31">
      <c r="A31" t="s">
        <v>30</v>
      </c>
      <c r="B31" t="s">
        <v>31</v>
      </c>
      <c r="C31" t="s">
        <v>188</v>
      </c>
      <c r="D31" t="s">
        <v>33</v>
      </c>
      <c r="E31" t="s">
        <v>34</v>
      </c>
      <c r="F31" s="2">
        <v>46281</v>
      </c>
      <c r="G31">
        <v>1</v>
      </c>
      <c r="H31" t="s">
        <v>129</v>
      </c>
      <c r="I31" t="s">
        <v>130</v>
      </c>
      <c r="J31" t="s">
        <v>131</v>
      </c>
      <c r="K31" t="s">
        <v>38</v>
      </c>
      <c r="L31" t="s">
        <v>132</v>
      </c>
      <c r="M31">
        <v>510</v>
      </c>
      <c r="N31">
        <v>510</v>
      </c>
      <c r="O31" t="s">
        <v>40</v>
      </c>
      <c r="P31">
        <v>10</v>
      </c>
      <c r="Q31">
        <f>N31/P31</f>
      </c>
      <c r="R31" s="1">
        <v>277</v>
      </c>
      <c r="S31" s="1">
        <v>277</v>
      </c>
      <c r="T31">
        <f>IF(R31=S31,"相符","不相符")</f>
      </c>
      <c r="U31" t="s">
        <v>133</v>
      </c>
      <c r="V31">
        <f>P31*R31</f>
      </c>
      <c r="W31">
        <f>Q31*V31</f>
      </c>
      <c r="X31">
        <v>730</v>
      </c>
      <c r="Y31" t="s">
        <v>41</v>
      </c>
      <c r="Z31" t="s">
        <v>42</v>
      </c>
      <c r="AA31"/>
      <c r="AB31"/>
      <c r="AC31" t="s">
        <v>49</v>
      </c>
      <c r="AD31"/>
    </row>
    <row r="32">
      <c r="A32" t="s">
        <v>30</v>
      </c>
      <c r="B32" t="s">
        <v>189</v>
      </c>
      <c r="C32" t="s">
        <v>190</v>
      </c>
      <c r="D32" t="s">
        <v>191</v>
      </c>
      <c r="E32" t="s">
        <v>192</v>
      </c>
      <c r="F32" s="2">
        <v>46283</v>
      </c>
      <c r="G32">
        <v>1</v>
      </c>
      <c r="H32" t="s">
        <v>193</v>
      </c>
      <c r="I32" t="s">
        <v>194</v>
      </c>
      <c r="J32" t="s">
        <v>194</v>
      </c>
      <c r="K32" t="s">
        <v>195</v>
      </c>
      <c r="L32" t="s">
        <v>196</v>
      </c>
      <c r="M32">
        <v>480</v>
      </c>
      <c r="N32">
        <v>480</v>
      </c>
      <c r="O32" t="s">
        <v>197</v>
      </c>
      <c r="P32">
        <v>24</v>
      </c>
      <c r="Q32">
        <f>N32/P32</f>
      </c>
      <c r="R32" s="1">
        <v>34</v>
      </c>
      <c r="S32" s="1">
        <v>54</v>
      </c>
      <c r="T32">
        <f>IF(R32=S32,"相符","不相符")</f>
      </c>
      <c r="U32"/>
      <c r="V32">
        <f>P32*R32</f>
      </c>
      <c r="W32">
        <f>Q32*V32</f>
      </c>
      <c r="X32">
        <v>1095</v>
      </c>
      <c r="Y32" t="s">
        <v>198</v>
      </c>
      <c r="Z32" t="s">
        <v>199</v>
      </c>
      <c r="AA32"/>
      <c r="AB32"/>
      <c r="AC32" t="s">
        <v>49</v>
      </c>
      <c r="AD32"/>
    </row>
    <row r="33">
      <c r="A33" t="s">
        <v>30</v>
      </c>
      <c r="B33" t="s">
        <v>189</v>
      </c>
      <c r="C33" t="s">
        <v>200</v>
      </c>
      <c r="D33" t="s">
        <v>191</v>
      </c>
      <c r="E33" t="s">
        <v>192</v>
      </c>
      <c r="F33" s="2">
        <v>46283</v>
      </c>
      <c r="G33">
        <v>1</v>
      </c>
      <c r="H33" t="s">
        <v>193</v>
      </c>
      <c r="I33" t="s">
        <v>194</v>
      </c>
      <c r="J33" t="s">
        <v>194</v>
      </c>
      <c r="K33" t="s">
        <v>195</v>
      </c>
      <c r="L33" t="s">
        <v>196</v>
      </c>
      <c r="M33">
        <v>271</v>
      </c>
      <c r="N33">
        <v>271</v>
      </c>
      <c r="O33" t="s">
        <v>197</v>
      </c>
      <c r="P33">
        <v>24</v>
      </c>
      <c r="Q33">
        <f>N33/P33</f>
      </c>
      <c r="R33" s="1">
        <v>34</v>
      </c>
      <c r="S33" s="1">
        <v>54</v>
      </c>
      <c r="T33">
        <f>IF(R33=S33,"相符","不相符")</f>
      </c>
      <c r="U33"/>
      <c r="V33">
        <f>P33*R33</f>
      </c>
      <c r="W33">
        <f>Q33*V33</f>
      </c>
      <c r="X33">
        <v>1095</v>
      </c>
      <c r="Y33" t="s">
        <v>198</v>
      </c>
      <c r="Z33" t="s">
        <v>201</v>
      </c>
      <c r="AA33"/>
      <c r="AB33"/>
      <c r="AC33" t="s">
        <v>49</v>
      </c>
      <c r="AD33"/>
    </row>
    <row r="34">
      <c r="A34" t="s">
        <v>30</v>
      </c>
      <c r="B34" t="s">
        <v>189</v>
      </c>
      <c r="C34" t="s">
        <v>202</v>
      </c>
      <c r="D34" t="s">
        <v>191</v>
      </c>
      <c r="E34" t="s">
        <v>192</v>
      </c>
      <c r="F34" s="2">
        <v>46283</v>
      </c>
      <c r="G34">
        <v>1</v>
      </c>
      <c r="H34" t="s">
        <v>193</v>
      </c>
      <c r="I34" t="s">
        <v>194</v>
      </c>
      <c r="J34" t="s">
        <v>194</v>
      </c>
      <c r="K34" t="s">
        <v>195</v>
      </c>
      <c r="L34" t="s">
        <v>196</v>
      </c>
      <c r="M34">
        <v>240</v>
      </c>
      <c r="N34">
        <v>240</v>
      </c>
      <c r="O34" t="s">
        <v>197</v>
      </c>
      <c r="P34">
        <v>24</v>
      </c>
      <c r="Q34">
        <f>N34/P34</f>
      </c>
      <c r="R34" s="1">
        <v>34</v>
      </c>
      <c r="S34" s="1">
        <v>54</v>
      </c>
      <c r="T34">
        <f>IF(R34=S34,"相符","不相符")</f>
      </c>
      <c r="U34"/>
      <c r="V34">
        <f>P34*R34</f>
      </c>
      <c r="W34">
        <f>Q34*V34</f>
      </c>
      <c r="X34">
        <v>1095</v>
      </c>
      <c r="Y34" t="s">
        <v>198</v>
      </c>
      <c r="Z34" t="s">
        <v>203</v>
      </c>
      <c r="AA34"/>
      <c r="AB34"/>
      <c r="AC34" t="s">
        <v>49</v>
      </c>
      <c r="AD34"/>
    </row>
    <row r="35">
      <c r="A35" t="s">
        <v>30</v>
      </c>
      <c r="B35" t="s">
        <v>31</v>
      </c>
      <c r="C35" t="s">
        <v>204</v>
      </c>
      <c r="D35" t="s">
        <v>205</v>
      </c>
      <c r="E35" t="s">
        <v>206</v>
      </c>
      <c r="F35" s="2">
        <v>46294</v>
      </c>
      <c r="G35">
        <v>1</v>
      </c>
      <c r="H35" t="s">
        <v>207</v>
      </c>
      <c r="I35" t="s">
        <v>208</v>
      </c>
      <c r="J35" t="s">
        <v>209</v>
      </c>
      <c r="K35" t="s">
        <v>210</v>
      </c>
      <c r="L35" t="s">
        <v>211</v>
      </c>
      <c r="M35">
        <v>10</v>
      </c>
      <c r="N35">
        <v>10</v>
      </c>
      <c r="O35" t="s">
        <v>84</v>
      </c>
      <c r="P35">
        <v>1</v>
      </c>
      <c r="Q35">
        <f>N35/P35</f>
      </c>
      <c r="R35" s="1">
        <v>613</v>
      </c>
      <c r="S35" s="1">
        <v>613</v>
      </c>
      <c r="T35">
        <f>IF(R35=S35,"相符","不相符")</f>
      </c>
      <c r="U35" t="s">
        <v>209</v>
      </c>
      <c r="V35">
        <f>P35*R35</f>
      </c>
      <c r="W35">
        <f>Q35*V35</f>
      </c>
      <c r="X35">
        <v>540</v>
      </c>
      <c r="Y35" t="s">
        <v>212</v>
      </c>
      <c r="Z35" t="s">
        <v>213</v>
      </c>
      <c r="AA35"/>
      <c r="AB35"/>
      <c r="AC35" t="s">
        <v>43</v>
      </c>
      <c r="AD35"/>
    </row>
    <row r="36">
      <c r="A36" t="s">
        <v>30</v>
      </c>
      <c r="B36" t="s">
        <v>31</v>
      </c>
      <c r="C36" t="s">
        <v>204</v>
      </c>
      <c r="D36" t="s">
        <v>205</v>
      </c>
      <c r="E36" t="s">
        <v>206</v>
      </c>
      <c r="F36" s="2">
        <v>46294</v>
      </c>
      <c r="G36">
        <v>2</v>
      </c>
      <c r="H36" t="s">
        <v>214</v>
      </c>
      <c r="I36" t="s">
        <v>215</v>
      </c>
      <c r="J36" t="s">
        <v>216</v>
      </c>
      <c r="K36" t="s">
        <v>57</v>
      </c>
      <c r="L36" t="s">
        <v>217</v>
      </c>
      <c r="M36">
        <v>26</v>
      </c>
      <c r="N36">
        <v>26</v>
      </c>
      <c r="O36" t="s">
        <v>84</v>
      </c>
      <c r="P36">
        <v>1</v>
      </c>
      <c r="Q36">
        <f>N36/P36</f>
      </c>
      <c r="R36" s="1">
        <v>584</v>
      </c>
      <c r="S36" s="1">
        <v>584</v>
      </c>
      <c r="T36">
        <f>IF(R36=S36,"相符","不相符")</f>
      </c>
      <c r="U36" t="s">
        <v>216</v>
      </c>
      <c r="V36">
        <f>P36*R36</f>
      </c>
      <c r="W36">
        <f>Q36*V36</f>
      </c>
      <c r="X36">
        <v>730</v>
      </c>
      <c r="Y36" t="s">
        <v>218</v>
      </c>
      <c r="Z36" t="s">
        <v>213</v>
      </c>
      <c r="AA36"/>
      <c r="AB36"/>
      <c r="AC36" t="s">
        <v>43</v>
      </c>
      <c r="AD36"/>
    </row>
    <row r="37">
      <c r="A37" t="s">
        <v>30</v>
      </c>
      <c r="B37" t="s">
        <v>31</v>
      </c>
      <c r="C37" t="s">
        <v>204</v>
      </c>
      <c r="D37" t="s">
        <v>205</v>
      </c>
      <c r="E37" t="s">
        <v>206</v>
      </c>
      <c r="F37" s="2">
        <v>46294</v>
      </c>
      <c r="G37">
        <v>3</v>
      </c>
      <c r="H37" t="s">
        <v>219</v>
      </c>
      <c r="I37" t="s">
        <v>220</v>
      </c>
      <c r="J37" t="s">
        <v>221</v>
      </c>
      <c r="K37" t="s">
        <v>57</v>
      </c>
      <c r="L37" t="s">
        <v>222</v>
      </c>
      <c r="M37">
        <v>34</v>
      </c>
      <c r="N37">
        <v>34</v>
      </c>
      <c r="O37" t="s">
        <v>84</v>
      </c>
      <c r="P37">
        <v>1</v>
      </c>
      <c r="Q37">
        <f>N37/P37</f>
      </c>
      <c r="R37" s="1">
        <v>584</v>
      </c>
      <c r="S37" s="1">
        <v>584</v>
      </c>
      <c r="T37">
        <f>IF(R37=S37,"相符","不相符")</f>
      </c>
      <c r="U37" t="s">
        <v>221</v>
      </c>
      <c r="V37">
        <f>P37*R37</f>
      </c>
      <c r="W37">
        <f>Q37*V37</f>
      </c>
      <c r="X37">
        <v>730</v>
      </c>
      <c r="Y37" t="s">
        <v>218</v>
      </c>
      <c r="Z37" t="s">
        <v>213</v>
      </c>
      <c r="AA37"/>
      <c r="AB37"/>
      <c r="AC37" t="s">
        <v>43</v>
      </c>
      <c r="AD37"/>
    </row>
    <row r="38">
      <c r="A38" t="s">
        <v>30</v>
      </c>
      <c r="B38" t="s">
        <v>31</v>
      </c>
      <c r="C38" t="s">
        <v>204</v>
      </c>
      <c r="D38" t="s">
        <v>205</v>
      </c>
      <c r="E38" t="s">
        <v>206</v>
      </c>
      <c r="F38" s="2">
        <v>46294</v>
      </c>
      <c r="G38">
        <v>4</v>
      </c>
      <c r="H38" t="s">
        <v>223</v>
      </c>
      <c r="I38" t="s">
        <v>224</v>
      </c>
      <c r="J38" t="s">
        <v>225</v>
      </c>
      <c r="K38" t="s">
        <v>210</v>
      </c>
      <c r="L38" t="s">
        <v>226</v>
      </c>
      <c r="M38">
        <v>22</v>
      </c>
      <c r="N38">
        <v>22</v>
      </c>
      <c r="O38" t="s">
        <v>84</v>
      </c>
      <c r="P38">
        <v>1</v>
      </c>
      <c r="Q38">
        <f>N38/P38</f>
      </c>
      <c r="R38" s="1">
        <v>960</v>
      </c>
      <c r="S38" s="1">
        <v>960</v>
      </c>
      <c r="T38">
        <f>IF(R38=S38,"相符","不相符")</f>
      </c>
      <c r="U38" t="s">
        <v>227</v>
      </c>
      <c r="V38">
        <f>P38*R38</f>
      </c>
      <c r="W38">
        <f>Q38*V38</f>
      </c>
      <c r="X38">
        <v>730</v>
      </c>
      <c r="Y38" t="s">
        <v>218</v>
      </c>
      <c r="Z38" t="s">
        <v>213</v>
      </c>
      <c r="AA38"/>
      <c r="AB38"/>
      <c r="AC38" t="s">
        <v>43</v>
      </c>
      <c r="AD38"/>
    </row>
    <row r="39">
      <c r="A39" t="s">
        <v>30</v>
      </c>
      <c r="B39" t="s">
        <v>31</v>
      </c>
      <c r="C39" t="s">
        <v>204</v>
      </c>
      <c r="D39" t="s">
        <v>205</v>
      </c>
      <c r="E39" t="s">
        <v>206</v>
      </c>
      <c r="F39" s="2">
        <v>46294</v>
      </c>
      <c r="G39">
        <v>5</v>
      </c>
      <c r="H39" t="s">
        <v>228</v>
      </c>
      <c r="I39" t="s">
        <v>229</v>
      </c>
      <c r="J39" t="s">
        <v>230</v>
      </c>
      <c r="K39" t="s">
        <v>210</v>
      </c>
      <c r="L39" t="s">
        <v>231</v>
      </c>
      <c r="M39">
        <v>8</v>
      </c>
      <c r="N39">
        <v>8</v>
      </c>
      <c r="O39" t="s">
        <v>84</v>
      </c>
      <c r="P39">
        <v>1</v>
      </c>
      <c r="Q39">
        <f>N39/P39</f>
      </c>
      <c r="R39" s="1">
        <v>960</v>
      </c>
      <c r="S39" s="1">
        <v>960</v>
      </c>
      <c r="T39">
        <f>IF(R39=S39,"相符","不相符")</f>
      </c>
      <c r="U39" t="s">
        <v>232</v>
      </c>
      <c r="V39">
        <f>P39*R39</f>
      </c>
      <c r="W39">
        <f>Q39*V39</f>
      </c>
      <c r="X39">
        <v>730</v>
      </c>
      <c r="Y39" t="s">
        <v>218</v>
      </c>
      <c r="Z39" t="s">
        <v>213</v>
      </c>
      <c r="AA39"/>
      <c r="AB39"/>
      <c r="AC39" t="s">
        <v>43</v>
      </c>
      <c r="AD39"/>
    </row>
    <row r="40">
      <c r="A40" t="s">
        <v>30</v>
      </c>
      <c r="B40" t="s">
        <v>233</v>
      </c>
      <c r="C40" t="s">
        <v>234</v>
      </c>
      <c r="D40" t="s">
        <v>33</v>
      </c>
      <c r="E40" t="s">
        <v>34</v>
      </c>
      <c r="F40" s="2">
        <v>46277</v>
      </c>
      <c r="G40">
        <v>1</v>
      </c>
      <c r="H40" t="s">
        <v>235</v>
      </c>
      <c r="I40" t="s">
        <v>236</v>
      </c>
      <c r="J40" t="s">
        <v>237</v>
      </c>
      <c r="K40" t="s">
        <v>238</v>
      </c>
      <c r="L40" t="s">
        <v>239</v>
      </c>
      <c r="M40">
        <v>3492</v>
      </c>
      <c r="N40">
        <v>2292</v>
      </c>
      <c r="O40" t="s">
        <v>240</v>
      </c>
      <c r="P40">
        <v>6</v>
      </c>
      <c r="Q40">
        <f>N40/P40</f>
      </c>
      <c r="R40" s="1">
        <v>167</v>
      </c>
      <c r="S40" s="1">
        <v>167</v>
      </c>
      <c r="T40">
        <f>IF(R40=S40,"相符","不相符")</f>
      </c>
      <c r="U40"/>
      <c r="V40">
        <f>P40*R40</f>
      </c>
      <c r="W40">
        <f>Q40*V40</f>
      </c>
      <c r="X40">
        <v>1095</v>
      </c>
      <c r="Y40" t="s">
        <v>241</v>
      </c>
      <c r="Z40" t="s">
        <v>242</v>
      </c>
      <c r="AA40"/>
      <c r="AB40"/>
      <c r="AC40" t="s">
        <v>243</v>
      </c>
      <c r="AD40"/>
    </row>
    <row r="41">
      <c r="A41" t="s">
        <v>30</v>
      </c>
      <c r="B41" t="s">
        <v>233</v>
      </c>
      <c r="C41" t="s">
        <v>234</v>
      </c>
      <c r="D41" t="s">
        <v>33</v>
      </c>
      <c r="E41" t="s">
        <v>34</v>
      </c>
      <c r="F41" s="2">
        <v>46277</v>
      </c>
      <c r="G41">
        <v>2</v>
      </c>
      <c r="H41" t="s">
        <v>244</v>
      </c>
      <c r="I41" t="s">
        <v>245</v>
      </c>
      <c r="J41" t="s">
        <v>246</v>
      </c>
      <c r="K41" t="s">
        <v>238</v>
      </c>
      <c r="L41" t="s">
        <v>247</v>
      </c>
      <c r="M41">
        <v>864</v>
      </c>
      <c r="N41">
        <v>864</v>
      </c>
      <c r="O41" t="s">
        <v>40</v>
      </c>
      <c r="P41">
        <v>6</v>
      </c>
      <c r="Q41">
        <f>N41/P41</f>
      </c>
      <c r="R41" s="1">
        <v>115</v>
      </c>
      <c r="S41" s="1">
        <v>115</v>
      </c>
      <c r="T41">
        <f>IF(R41=S41,"相符","不相符")</f>
      </c>
      <c r="U41"/>
      <c r="V41">
        <f>P41*R41</f>
      </c>
      <c r="W41">
        <f>Q41*V41</f>
      </c>
      <c r="X41">
        <v>540</v>
      </c>
      <c r="Y41" t="s">
        <v>248</v>
      </c>
      <c r="Z41" t="s">
        <v>242</v>
      </c>
      <c r="AA41"/>
      <c r="AB41"/>
      <c r="AC41" t="s">
        <v>243</v>
      </c>
      <c r="AD41"/>
    </row>
    <row r="42">
      <c r="A42" t="s">
        <v>30</v>
      </c>
      <c r="B42" t="s">
        <v>233</v>
      </c>
      <c r="C42" t="s">
        <v>234</v>
      </c>
      <c r="D42" t="s">
        <v>33</v>
      </c>
      <c r="E42" t="s">
        <v>34</v>
      </c>
      <c r="F42" s="2">
        <v>46277</v>
      </c>
      <c r="G42">
        <v>3</v>
      </c>
      <c r="H42" t="s">
        <v>249</v>
      </c>
      <c r="I42" t="s">
        <v>250</v>
      </c>
      <c r="J42" t="s">
        <v>251</v>
      </c>
      <c r="K42" t="s">
        <v>238</v>
      </c>
      <c r="L42" t="s">
        <v>252</v>
      </c>
      <c r="M42">
        <v>396</v>
      </c>
      <c r="N42">
        <v>396</v>
      </c>
      <c r="O42" t="s">
        <v>177</v>
      </c>
      <c r="P42">
        <v>6</v>
      </c>
      <c r="Q42">
        <f>N42/P42</f>
      </c>
      <c r="R42" s="1">
        <v>137</v>
      </c>
      <c r="S42" s="1">
        <v>137</v>
      </c>
      <c r="T42">
        <f>IF(R42=S42,"相符","不相符")</f>
      </c>
      <c r="U42"/>
      <c r="V42">
        <f>P42*R42</f>
      </c>
      <c r="W42">
        <f>Q42*V42</f>
      </c>
      <c r="X42">
        <v>1095</v>
      </c>
      <c r="Y42" t="s">
        <v>253</v>
      </c>
      <c r="Z42" t="s">
        <v>242</v>
      </c>
      <c r="AA42"/>
      <c r="AB42"/>
      <c r="AC42" t="s">
        <v>243</v>
      </c>
      <c r="AD42"/>
    </row>
    <row r="43">
      <c r="A43" t="s">
        <v>30</v>
      </c>
      <c r="B43" t="s">
        <v>254</v>
      </c>
      <c r="C43" t="s">
        <v>234</v>
      </c>
      <c r="D43" t="s">
        <v>33</v>
      </c>
      <c r="E43" t="s">
        <v>34</v>
      </c>
      <c r="F43" s="2">
        <v>46277</v>
      </c>
      <c r="G43">
        <v>4</v>
      </c>
      <c r="H43" t="s">
        <v>255</v>
      </c>
      <c r="I43" t="s">
        <v>256</v>
      </c>
      <c r="J43" t="s">
        <v>257</v>
      </c>
      <c r="K43" t="s">
        <v>258</v>
      </c>
      <c r="L43" t="s">
        <v>259</v>
      </c>
      <c r="M43">
        <v>816</v>
      </c>
      <c r="N43">
        <v>270</v>
      </c>
      <c r="O43" t="s">
        <v>197</v>
      </c>
      <c r="P43">
        <v>10</v>
      </c>
      <c r="Q43">
        <f>N43/P43</f>
      </c>
      <c r="R43" s="1">
        <v>44</v>
      </c>
      <c r="S43" s="1">
        <v>44</v>
      </c>
      <c r="T43">
        <f>IF(R43=S43,"相符","不相符")</f>
      </c>
      <c r="U43"/>
      <c r="V43">
        <f>P43*R43</f>
      </c>
      <c r="W43">
        <f>Q43*V43</f>
      </c>
      <c r="X43">
        <v>1095</v>
      </c>
      <c r="Y43" t="s">
        <v>260</v>
      </c>
      <c r="Z43" t="s">
        <v>242</v>
      </c>
      <c r="AA43"/>
      <c r="AB43"/>
      <c r="AC43" t="s">
        <v>243</v>
      </c>
      <c r="AD43"/>
    </row>
    <row r="44">
      <c r="A44" t="s">
        <v>30</v>
      </c>
      <c r="B44" t="s">
        <v>254</v>
      </c>
      <c r="C44" t="s">
        <v>261</v>
      </c>
      <c r="D44" t="s">
        <v>262</v>
      </c>
      <c r="E44" t="s">
        <v>263</v>
      </c>
      <c r="F44" s="2">
        <v>46277</v>
      </c>
      <c r="G44">
        <v>1</v>
      </c>
      <c r="H44" t="s">
        <v>264</v>
      </c>
      <c r="I44" t="s">
        <v>265</v>
      </c>
      <c r="J44" t="s">
        <v>266</v>
      </c>
      <c r="K44" t="s">
        <v>258</v>
      </c>
      <c r="L44" t="s">
        <v>267</v>
      </c>
      <c r="M44">
        <v>5600</v>
      </c>
      <c r="N44">
        <v>3500</v>
      </c>
      <c r="O44" t="s">
        <v>197</v>
      </c>
      <c r="P44">
        <v>7</v>
      </c>
      <c r="Q44">
        <f>N44/P44</f>
      </c>
      <c r="R44" s="1">
        <v>92</v>
      </c>
      <c r="S44" s="1">
        <v>92</v>
      </c>
      <c r="T44">
        <f>IF(R44=S44,"相符","不相符")</f>
      </c>
      <c r="U44" t="s">
        <v>268</v>
      </c>
      <c r="V44">
        <f>P44*R44</f>
      </c>
      <c r="W44">
        <f>Q44*V44</f>
      </c>
      <c r="X44">
        <v>1825</v>
      </c>
      <c r="Y44" t="s">
        <v>269</v>
      </c>
      <c r="Z44" t="s">
        <v>270</v>
      </c>
      <c r="AA44"/>
      <c r="AB44"/>
      <c r="AC44" t="s">
        <v>243</v>
      </c>
      <c r="AD44"/>
    </row>
    <row r="45">
      <c r="A45" t="s">
        <v>30</v>
      </c>
      <c r="B45" t="s">
        <v>254</v>
      </c>
      <c r="C45" t="s">
        <v>271</v>
      </c>
      <c r="D45" t="s">
        <v>262</v>
      </c>
      <c r="E45" t="s">
        <v>263</v>
      </c>
      <c r="F45" s="2">
        <v>46291</v>
      </c>
      <c r="G45">
        <v>1</v>
      </c>
      <c r="H45" t="s">
        <v>272</v>
      </c>
      <c r="I45" t="s">
        <v>273</v>
      </c>
      <c r="J45" t="s">
        <v>274</v>
      </c>
      <c r="K45" t="s">
        <v>258</v>
      </c>
      <c r="L45" t="s">
        <v>275</v>
      </c>
      <c r="M45">
        <v>1320</v>
      </c>
      <c r="N45">
        <v>1320</v>
      </c>
      <c r="O45" t="s">
        <v>197</v>
      </c>
      <c r="P45">
        <v>8</v>
      </c>
      <c r="Q45">
        <f>N45/P45</f>
      </c>
      <c r="R45" s="1">
        <v>65</v>
      </c>
      <c r="S45" s="1">
        <v>65</v>
      </c>
      <c r="T45">
        <f>IF(R45=S45,"相符","不相符")</f>
      </c>
      <c r="U45" t="s">
        <v>276</v>
      </c>
      <c r="V45">
        <f>P45*R45</f>
      </c>
      <c r="W45">
        <f>Q45*V45</f>
      </c>
      <c r="X45">
        <v>1825</v>
      </c>
      <c r="Y45" t="s">
        <v>277</v>
      </c>
      <c r="Z45" t="s">
        <v>42</v>
      </c>
      <c r="AA45"/>
      <c r="AB45"/>
      <c r="AC45" t="s">
        <v>243</v>
      </c>
      <c r="AD45"/>
    </row>
    <row r="46">
      <c r="A46" t="s">
        <v>30</v>
      </c>
      <c r="B46" t="s">
        <v>233</v>
      </c>
      <c r="C46" t="s">
        <v>271</v>
      </c>
      <c r="D46" t="s">
        <v>262</v>
      </c>
      <c r="E46" t="s">
        <v>263</v>
      </c>
      <c r="F46" s="2">
        <v>46291</v>
      </c>
      <c r="G46">
        <v>2</v>
      </c>
      <c r="H46" t="s">
        <v>278</v>
      </c>
      <c r="I46" t="s">
        <v>279</v>
      </c>
      <c r="J46" t="s">
        <v>280</v>
      </c>
      <c r="K46" t="s">
        <v>238</v>
      </c>
      <c r="L46" t="s">
        <v>281</v>
      </c>
      <c r="M46">
        <v>1920</v>
      </c>
      <c r="N46">
        <v>1920</v>
      </c>
      <c r="O46" t="s">
        <v>177</v>
      </c>
      <c r="P46">
        <v>12</v>
      </c>
      <c r="Q46">
        <f>N46/P46</f>
      </c>
      <c r="R46" s="1">
        <v>74</v>
      </c>
      <c r="S46" s="1">
        <v>74</v>
      </c>
      <c r="T46">
        <f>IF(R46=S46,"相符","不相符")</f>
      </c>
      <c r="U46"/>
      <c r="V46">
        <f>P46*R46</f>
      </c>
      <c r="W46">
        <f>Q46*V46</f>
      </c>
      <c r="X46">
        <v>1095</v>
      </c>
      <c r="Y46" t="s">
        <v>282</v>
      </c>
      <c r="Z46" t="s">
        <v>42</v>
      </c>
      <c r="AA46"/>
      <c r="AB46"/>
      <c r="AC46" t="s">
        <v>243</v>
      </c>
      <c r="AD46"/>
    </row>
    <row r="47">
      <c r="A47" t="s">
        <v>30</v>
      </c>
      <c r="B47" t="s">
        <v>233</v>
      </c>
      <c r="C47" t="s">
        <v>283</v>
      </c>
      <c r="D47" t="s">
        <v>33</v>
      </c>
      <c r="E47" t="s">
        <v>34</v>
      </c>
      <c r="F47" s="2">
        <v>46288</v>
      </c>
      <c r="G47">
        <v>1</v>
      </c>
      <c r="H47" t="s">
        <v>284</v>
      </c>
      <c r="I47" t="s">
        <v>285</v>
      </c>
      <c r="J47" t="s">
        <v>286</v>
      </c>
      <c r="K47" t="s">
        <v>238</v>
      </c>
      <c r="L47" t="s">
        <v>287</v>
      </c>
      <c r="M47">
        <v>12</v>
      </c>
      <c r="N47">
        <v>12</v>
      </c>
      <c r="O47" t="s">
        <v>240</v>
      </c>
      <c r="P47">
        <v>12</v>
      </c>
      <c r="Q47">
        <f>N47/P47</f>
      </c>
      <c r="R47" s="1">
        <v>64</v>
      </c>
      <c r="S47" s="1">
        <v>64</v>
      </c>
      <c r="T47">
        <f>IF(R47=S47,"相符","不相符")</f>
      </c>
      <c r="U47"/>
      <c r="V47">
        <f>P47*R47</f>
      </c>
      <c r="W47">
        <f>Q47*V47</f>
      </c>
      <c r="X47">
        <v>1095</v>
      </c>
      <c r="Y47" t="s">
        <v>288</v>
      </c>
      <c r="Z47" t="s">
        <v>42</v>
      </c>
      <c r="AA47"/>
      <c r="AB47"/>
      <c r="AC47" t="s">
        <v>243</v>
      </c>
      <c r="AD47"/>
    </row>
    <row r="48">
      <c r="A48" t="s">
        <v>30</v>
      </c>
      <c r="B48" t="s">
        <v>233</v>
      </c>
      <c r="C48" t="s">
        <v>283</v>
      </c>
      <c r="D48" t="s">
        <v>33</v>
      </c>
      <c r="E48" t="s">
        <v>34</v>
      </c>
      <c r="F48" s="2">
        <v>46288</v>
      </c>
      <c r="G48">
        <v>2</v>
      </c>
      <c r="H48" t="s">
        <v>289</v>
      </c>
      <c r="I48" t="s">
        <v>290</v>
      </c>
      <c r="J48" t="s">
        <v>291</v>
      </c>
      <c r="K48" t="s">
        <v>238</v>
      </c>
      <c r="L48" t="s">
        <v>292</v>
      </c>
      <c r="M48">
        <v>24</v>
      </c>
      <c r="N48">
        <v>24</v>
      </c>
      <c r="O48" t="s">
        <v>240</v>
      </c>
      <c r="P48">
        <v>12</v>
      </c>
      <c r="Q48">
        <f>N48/P48</f>
      </c>
      <c r="R48" s="1">
        <v>66</v>
      </c>
      <c r="S48" s="1">
        <v>66</v>
      </c>
      <c r="T48">
        <f>IF(R48=S48,"相符","不相符")</f>
      </c>
      <c r="U48"/>
      <c r="V48">
        <f>P48*R48</f>
      </c>
      <c r="W48">
        <f>Q48*V48</f>
      </c>
      <c r="X48">
        <v>1095</v>
      </c>
      <c r="Y48" t="s">
        <v>288</v>
      </c>
      <c r="Z48" t="s">
        <v>42</v>
      </c>
      <c r="AA48"/>
      <c r="AB48"/>
      <c r="AC48" t="s">
        <v>243</v>
      </c>
      <c r="AD48"/>
    </row>
    <row r="49">
      <c r="A49" t="s">
        <v>30</v>
      </c>
      <c r="B49" t="s">
        <v>254</v>
      </c>
      <c r="C49" t="s">
        <v>283</v>
      </c>
      <c r="D49" t="s">
        <v>33</v>
      </c>
      <c r="E49" t="s">
        <v>34</v>
      </c>
      <c r="F49" s="2">
        <v>46288</v>
      </c>
      <c r="G49">
        <v>3</v>
      </c>
      <c r="H49" t="s">
        <v>255</v>
      </c>
      <c r="I49" t="s">
        <v>256</v>
      </c>
      <c r="J49" t="s">
        <v>257</v>
      </c>
      <c r="K49" t="s">
        <v>258</v>
      </c>
      <c r="L49" t="s">
        <v>259</v>
      </c>
      <c r="M49">
        <v>246</v>
      </c>
      <c r="N49">
        <v>246</v>
      </c>
      <c r="O49" t="s">
        <v>197</v>
      </c>
      <c r="P49">
        <v>10</v>
      </c>
      <c r="Q49">
        <f>N49/P49</f>
      </c>
      <c r="R49" s="1">
        <v>44</v>
      </c>
      <c r="S49" s="1">
        <v>44</v>
      </c>
      <c r="T49">
        <f>IF(R49=S49,"相符","不相符")</f>
      </c>
      <c r="U49"/>
      <c r="V49">
        <f>P49*R49</f>
      </c>
      <c r="W49">
        <f>Q49*V49</f>
      </c>
      <c r="X49">
        <v>1095</v>
      </c>
      <c r="Y49" t="s">
        <v>293</v>
      </c>
      <c r="Z49" t="s">
        <v>42</v>
      </c>
      <c r="AA49"/>
      <c r="AB49"/>
      <c r="AC49" t="s">
        <v>243</v>
      </c>
      <c r="AD49"/>
    </row>
    <row r="50">
      <c r="A50" t="s">
        <v>30</v>
      </c>
      <c r="B50" t="s">
        <v>31</v>
      </c>
      <c r="C50" t="s">
        <v>294</v>
      </c>
      <c r="D50" t="s">
        <v>33</v>
      </c>
      <c r="E50" t="s">
        <v>34</v>
      </c>
      <c r="F50" s="2">
        <v>46288</v>
      </c>
      <c r="G50">
        <v>1</v>
      </c>
      <c r="H50" t="s">
        <v>295</v>
      </c>
      <c r="I50" t="s">
        <v>296</v>
      </c>
      <c r="J50" t="s">
        <v>297</v>
      </c>
      <c r="K50" t="s">
        <v>57</v>
      </c>
      <c r="L50" t="s">
        <v>298</v>
      </c>
      <c r="M50">
        <v>58</v>
      </c>
      <c r="N50">
        <v>58</v>
      </c>
      <c r="O50" t="s">
        <v>40</v>
      </c>
      <c r="P50">
        <v>6</v>
      </c>
      <c r="Q50">
        <f>N50/P50</f>
      </c>
      <c r="R50" s="1">
        <v>129</v>
      </c>
      <c r="S50" s="1">
        <v>129</v>
      </c>
      <c r="T50">
        <f>IF(R50=S50,"相符","不相符")</f>
      </c>
      <c r="U50" t="s">
        <v>297</v>
      </c>
      <c r="V50">
        <f>P50*R50</f>
      </c>
      <c r="W50">
        <f>Q50*V50</f>
      </c>
      <c r="X50">
        <v>540</v>
      </c>
      <c r="Y50" t="s">
        <v>299</v>
      </c>
      <c r="Z50" t="s">
        <v>42</v>
      </c>
      <c r="AA50"/>
      <c r="AB50"/>
      <c r="AC50" t="s">
        <v>43</v>
      </c>
      <c r="AD50"/>
    </row>
    <row r="51">
      <c r="A51" t="s">
        <v>30</v>
      </c>
      <c r="B51" t="s">
        <v>31</v>
      </c>
      <c r="C51" t="s">
        <v>294</v>
      </c>
      <c r="D51" t="s">
        <v>33</v>
      </c>
      <c r="E51" t="s">
        <v>34</v>
      </c>
      <c r="F51" s="2">
        <v>46288</v>
      </c>
      <c r="G51">
        <v>2</v>
      </c>
      <c r="H51" t="s">
        <v>300</v>
      </c>
      <c r="I51" t="s">
        <v>301</v>
      </c>
      <c r="J51" t="s">
        <v>302</v>
      </c>
      <c r="K51" t="s">
        <v>38</v>
      </c>
      <c r="L51" t="s">
        <v>303</v>
      </c>
      <c r="M51">
        <v>126</v>
      </c>
      <c r="N51">
        <v>126</v>
      </c>
      <c r="O51" t="s">
        <v>40</v>
      </c>
      <c r="P51">
        <v>48</v>
      </c>
      <c r="Q51">
        <f>N51/P51</f>
      </c>
      <c r="R51" s="1">
        <v>78</v>
      </c>
      <c r="S51" s="1">
        <v>78</v>
      </c>
      <c r="T51">
        <f>IF(R51=S51,"相符","不相符")</f>
      </c>
      <c r="U51" t="s">
        <v>302</v>
      </c>
      <c r="V51">
        <f>P51*R51</f>
      </c>
      <c r="W51">
        <f>Q51*V51</f>
      </c>
      <c r="X51">
        <v>450</v>
      </c>
      <c r="Y51" t="s">
        <v>304</v>
      </c>
      <c r="Z51" t="s">
        <v>42</v>
      </c>
      <c r="AA51"/>
      <c r="AB51"/>
      <c r="AC51" t="s">
        <v>49</v>
      </c>
      <c r="AD51"/>
    </row>
    <row r="52">
      <c r="A52" t="s">
        <v>30</v>
      </c>
      <c r="B52" t="s">
        <v>31</v>
      </c>
      <c r="C52" t="s">
        <v>294</v>
      </c>
      <c r="D52" t="s">
        <v>33</v>
      </c>
      <c r="E52" t="s">
        <v>34</v>
      </c>
      <c r="F52" s="2">
        <v>46288</v>
      </c>
      <c r="G52">
        <v>3</v>
      </c>
      <c r="H52" t="s">
        <v>125</v>
      </c>
      <c r="I52" t="s">
        <v>126</v>
      </c>
      <c r="J52" t="s">
        <v>127</v>
      </c>
      <c r="K52" t="s">
        <v>57</v>
      </c>
      <c r="L52" t="s">
        <v>128</v>
      </c>
      <c r="M52">
        <v>30</v>
      </c>
      <c r="N52">
        <v>30</v>
      </c>
      <c r="O52" t="s">
        <v>40</v>
      </c>
      <c r="P52">
        <v>6</v>
      </c>
      <c r="Q52">
        <f>N52/P52</f>
      </c>
      <c r="R52" s="1">
        <v>129</v>
      </c>
      <c r="S52" s="1">
        <v>129</v>
      </c>
      <c r="T52">
        <f>IF(R52=S52,"相符","不相符")</f>
      </c>
      <c r="U52" t="s">
        <v>127</v>
      </c>
      <c r="V52">
        <f>P52*R52</f>
      </c>
      <c r="W52">
        <f>Q52*V52</f>
      </c>
      <c r="X52">
        <v>540</v>
      </c>
      <c r="Y52" t="s">
        <v>305</v>
      </c>
      <c r="Z52" t="s">
        <v>42</v>
      </c>
      <c r="AA52"/>
      <c r="AB52"/>
      <c r="AC52" t="s">
        <v>43</v>
      </c>
      <c r="AD52"/>
    </row>
    <row r="53">
      <c r="A53" t="s">
        <v>30</v>
      </c>
      <c r="B53" t="s">
        <v>31</v>
      </c>
      <c r="C53" t="s">
        <v>294</v>
      </c>
      <c r="D53" t="s">
        <v>33</v>
      </c>
      <c r="E53" t="s">
        <v>34</v>
      </c>
      <c r="F53" s="2">
        <v>46288</v>
      </c>
      <c r="G53">
        <v>4</v>
      </c>
      <c r="H53" t="s">
        <v>306</v>
      </c>
      <c r="I53" t="s">
        <v>307</v>
      </c>
      <c r="J53" t="s">
        <v>308</v>
      </c>
      <c r="K53" t="s">
        <v>57</v>
      </c>
      <c r="L53" t="s">
        <v>309</v>
      </c>
      <c r="M53">
        <v>2</v>
      </c>
      <c r="N53">
        <v>2</v>
      </c>
      <c r="O53" t="s">
        <v>40</v>
      </c>
      <c r="P53">
        <v>6</v>
      </c>
      <c r="Q53">
        <f>N53/P53</f>
      </c>
      <c r="R53" s="1">
        <v>129</v>
      </c>
      <c r="S53" s="1">
        <v>129</v>
      </c>
      <c r="T53">
        <f>IF(R53=S53,"相符","不相符")</f>
      </c>
      <c r="U53" t="s">
        <v>310</v>
      </c>
      <c r="V53">
        <f>P53*R53</f>
      </c>
      <c r="W53">
        <f>Q53*V53</f>
      </c>
      <c r="X53">
        <v>540</v>
      </c>
      <c r="Y53" t="s">
        <v>299</v>
      </c>
      <c r="Z53" t="s">
        <v>42</v>
      </c>
      <c r="AA53"/>
      <c r="AB53"/>
      <c r="AC53" t="s">
        <v>43</v>
      </c>
      <c r="AD53"/>
    </row>
    <row r="54">
      <c r="A54" t="s">
        <v>30</v>
      </c>
      <c r="B54" t="s">
        <v>31</v>
      </c>
      <c r="C54" t="s">
        <v>294</v>
      </c>
      <c r="D54" t="s">
        <v>33</v>
      </c>
      <c r="E54" t="s">
        <v>34</v>
      </c>
      <c r="F54" s="2">
        <v>46288</v>
      </c>
      <c r="G54">
        <v>5</v>
      </c>
      <c r="H54" t="s">
        <v>311</v>
      </c>
      <c r="I54" t="s">
        <v>312</v>
      </c>
      <c r="J54" t="s">
        <v>313</v>
      </c>
      <c r="K54" t="s">
        <v>82</v>
      </c>
      <c r="L54" t="s">
        <v>314</v>
      </c>
      <c r="M54">
        <v>10</v>
      </c>
      <c r="N54">
        <v>10</v>
      </c>
      <c r="O54" t="s">
        <v>84</v>
      </c>
      <c r="P54">
        <v>1</v>
      </c>
      <c r="Q54">
        <f>N54/P54</f>
      </c>
      <c r="R54" s="1">
        <v>635</v>
      </c>
      <c r="S54" s="1">
        <v>635</v>
      </c>
      <c r="T54">
        <f>IF(R54=S54,"相符","不相符")</f>
      </c>
      <c r="U54" t="s">
        <v>315</v>
      </c>
      <c r="V54">
        <f>P54*R54</f>
      </c>
      <c r="W54">
        <f>Q54*V54</f>
      </c>
      <c r="X54">
        <v>730</v>
      </c>
      <c r="Y54" t="s">
        <v>316</v>
      </c>
      <c r="Z54" t="s">
        <v>42</v>
      </c>
      <c r="AA54"/>
      <c r="AB54"/>
      <c r="AC54" t="s">
        <v>49</v>
      </c>
      <c r="AD54"/>
    </row>
    <row r="55">
      <c r="A55" t="s">
        <v>30</v>
      </c>
      <c r="B55" t="s">
        <v>31</v>
      </c>
      <c r="C55" t="s">
        <v>294</v>
      </c>
      <c r="D55" t="s">
        <v>33</v>
      </c>
      <c r="E55" t="s">
        <v>34</v>
      </c>
      <c r="F55" s="2">
        <v>46288</v>
      </c>
      <c r="G55">
        <v>6</v>
      </c>
      <c r="H55" t="s">
        <v>317</v>
      </c>
      <c r="I55" t="s">
        <v>318</v>
      </c>
      <c r="J55" t="s">
        <v>319</v>
      </c>
      <c r="K55" t="s">
        <v>82</v>
      </c>
      <c r="L55" t="s">
        <v>320</v>
      </c>
      <c r="M55">
        <v>12</v>
      </c>
      <c r="N55">
        <v>12</v>
      </c>
      <c r="O55" t="s">
        <v>84</v>
      </c>
      <c r="P55">
        <v>1</v>
      </c>
      <c r="Q55">
        <f>N55/P55</f>
      </c>
      <c r="R55" s="1">
        <v>635</v>
      </c>
      <c r="S55" s="1">
        <v>635</v>
      </c>
      <c r="T55">
        <f>IF(R55=S55,"相符","不相符")</f>
      </c>
      <c r="U55" t="s">
        <v>321</v>
      </c>
      <c r="V55">
        <f>P55*R55</f>
      </c>
      <c r="W55">
        <f>Q55*V55</f>
      </c>
      <c r="X55">
        <v>730</v>
      </c>
      <c r="Y55" t="s">
        <v>322</v>
      </c>
      <c r="Z55" t="s">
        <v>42</v>
      </c>
      <c r="AA55"/>
      <c r="AB55"/>
      <c r="AC55" t="s">
        <v>49</v>
      </c>
      <c r="AD55"/>
    </row>
    <row r="56">
      <c r="A56" t="s">
        <v>30</v>
      </c>
      <c r="B56" t="s">
        <v>31</v>
      </c>
      <c r="C56" t="s">
        <v>294</v>
      </c>
      <c r="D56" t="s">
        <v>33</v>
      </c>
      <c r="E56" t="s">
        <v>34</v>
      </c>
      <c r="F56" s="2">
        <v>46288</v>
      </c>
      <c r="G56">
        <v>7</v>
      </c>
      <c r="H56" t="s">
        <v>323</v>
      </c>
      <c r="I56" t="s">
        <v>324</v>
      </c>
      <c r="J56" t="s">
        <v>325</v>
      </c>
      <c r="K56" t="s">
        <v>82</v>
      </c>
      <c r="L56" t="s">
        <v>326</v>
      </c>
      <c r="M56">
        <v>5</v>
      </c>
      <c r="N56">
        <v>5</v>
      </c>
      <c r="O56" t="s">
        <v>84</v>
      </c>
      <c r="P56">
        <v>1</v>
      </c>
      <c r="Q56">
        <f>N56/P56</f>
      </c>
      <c r="R56" s="1">
        <v>635</v>
      </c>
      <c r="S56" s="1">
        <v>635</v>
      </c>
      <c r="T56">
        <f>IF(R56=S56,"相符","不相符")</f>
      </c>
      <c r="U56" t="s">
        <v>327</v>
      </c>
      <c r="V56">
        <f>P56*R56</f>
      </c>
      <c r="W56">
        <f>Q56*V56</f>
      </c>
      <c r="X56">
        <v>730</v>
      </c>
      <c r="Y56" t="s">
        <v>316</v>
      </c>
      <c r="Z56" t="s">
        <v>42</v>
      </c>
      <c r="AA56"/>
      <c r="AB56"/>
      <c r="AC56" t="s">
        <v>49</v>
      </c>
      <c r="AD56"/>
    </row>
    <row r="57">
      <c r="A57" t="s">
        <v>30</v>
      </c>
      <c r="B57" t="s">
        <v>31</v>
      </c>
      <c r="C57" t="s">
        <v>294</v>
      </c>
      <c r="D57" t="s">
        <v>33</v>
      </c>
      <c r="E57" t="s">
        <v>34</v>
      </c>
      <c r="F57" s="2">
        <v>46288</v>
      </c>
      <c r="G57">
        <v>8</v>
      </c>
      <c r="H57" t="s">
        <v>328</v>
      </c>
      <c r="I57" t="s">
        <v>329</v>
      </c>
      <c r="J57" t="s">
        <v>330</v>
      </c>
      <c r="K57" t="s">
        <v>82</v>
      </c>
      <c r="L57" t="s">
        <v>331</v>
      </c>
      <c r="M57">
        <v>226</v>
      </c>
      <c r="N57">
        <v>226</v>
      </c>
      <c r="O57" t="s">
        <v>40</v>
      </c>
      <c r="P57">
        <v>8</v>
      </c>
      <c r="Q57">
        <f>N57/P57</f>
      </c>
      <c r="R57" s="1">
        <v>229</v>
      </c>
      <c r="S57" s="1">
        <v>229</v>
      </c>
      <c r="T57">
        <f>IF(R57=S57,"相符","不相符")</f>
      </c>
      <c r="U57" t="s">
        <v>330</v>
      </c>
      <c r="V57">
        <f>P57*R57</f>
      </c>
      <c r="W57">
        <f>Q57*V57</f>
      </c>
      <c r="X57">
        <v>730</v>
      </c>
      <c r="Y57" t="s">
        <v>316</v>
      </c>
      <c r="Z57" t="s">
        <v>42</v>
      </c>
      <c r="AA57"/>
      <c r="AB57"/>
      <c r="AC57" t="s">
        <v>49</v>
      </c>
      <c r="AD57"/>
    </row>
    <row r="58">
      <c r="A58" t="s">
        <v>30</v>
      </c>
      <c r="B58" t="s">
        <v>31</v>
      </c>
      <c r="C58" t="s">
        <v>294</v>
      </c>
      <c r="D58" t="s">
        <v>33</v>
      </c>
      <c r="E58" t="s">
        <v>34</v>
      </c>
      <c r="F58" s="2">
        <v>46288</v>
      </c>
      <c r="G58">
        <v>9</v>
      </c>
      <c r="H58" t="s">
        <v>134</v>
      </c>
      <c r="I58" t="s">
        <v>135</v>
      </c>
      <c r="J58" t="s">
        <v>136</v>
      </c>
      <c r="K58" t="s">
        <v>38</v>
      </c>
      <c r="L58" t="s">
        <v>137</v>
      </c>
      <c r="M58">
        <v>190</v>
      </c>
      <c r="N58">
        <v>190</v>
      </c>
      <c r="O58" t="s">
        <v>40</v>
      </c>
      <c r="P58">
        <v>10</v>
      </c>
      <c r="Q58">
        <f>N58/P58</f>
      </c>
      <c r="R58" s="1">
        <v>277</v>
      </c>
      <c r="S58" s="1">
        <v>277</v>
      </c>
      <c r="T58">
        <f>IF(R58=S58,"相符","不相符")</f>
      </c>
      <c r="U58" t="s">
        <v>138</v>
      </c>
      <c r="V58">
        <f>P58*R58</f>
      </c>
      <c r="W58">
        <f>Q58*V58</f>
      </c>
      <c r="X58">
        <v>730</v>
      </c>
      <c r="Y58" t="s">
        <v>322</v>
      </c>
      <c r="Z58" t="s">
        <v>42</v>
      </c>
      <c r="AA58"/>
      <c r="AB58"/>
      <c r="AC58" t="s">
        <v>49</v>
      </c>
      <c r="AD58"/>
    </row>
    <row r="59">
      <c r="A59" t="s">
        <v>30</v>
      </c>
      <c r="B59" t="s">
        <v>31</v>
      </c>
      <c r="C59" t="s">
        <v>294</v>
      </c>
      <c r="D59" t="s">
        <v>33</v>
      </c>
      <c r="E59" t="s">
        <v>34</v>
      </c>
      <c r="F59" s="2">
        <v>46288</v>
      </c>
      <c r="G59">
        <v>10</v>
      </c>
      <c r="H59" t="s">
        <v>44</v>
      </c>
      <c r="I59" t="s">
        <v>45</v>
      </c>
      <c r="J59" t="s">
        <v>46</v>
      </c>
      <c r="K59" t="s">
        <v>38</v>
      </c>
      <c r="L59" t="s">
        <v>47</v>
      </c>
      <c r="M59">
        <v>320</v>
      </c>
      <c r="N59">
        <v>320</v>
      </c>
      <c r="O59" t="s">
        <v>40</v>
      </c>
      <c r="P59">
        <v>10</v>
      </c>
      <c r="Q59">
        <f>N59/P59</f>
      </c>
      <c r="R59" s="1">
        <v>277</v>
      </c>
      <c r="S59" s="1">
        <v>277</v>
      </c>
      <c r="T59">
        <f>IF(R59=S59,"相符","不相符")</f>
      </c>
      <c r="U59" t="s">
        <v>48</v>
      </c>
      <c r="V59">
        <f>P59*R59</f>
      </c>
      <c r="W59">
        <f>Q59*V59</f>
      </c>
      <c r="X59">
        <v>730</v>
      </c>
      <c r="Y59" t="s">
        <v>316</v>
      </c>
      <c r="Z59" t="s">
        <v>42</v>
      </c>
      <c r="AA59"/>
      <c r="AB59"/>
      <c r="AC59" t="s">
        <v>49</v>
      </c>
      <c r="AD59"/>
    </row>
    <row r="60">
      <c r="A60" t="s">
        <v>30</v>
      </c>
      <c r="B60" t="s">
        <v>31</v>
      </c>
      <c r="C60" t="s">
        <v>294</v>
      </c>
      <c r="D60" t="s">
        <v>33</v>
      </c>
      <c r="E60" t="s">
        <v>34</v>
      </c>
      <c r="F60" s="2">
        <v>46288</v>
      </c>
      <c r="G60">
        <v>11</v>
      </c>
      <c r="H60" t="s">
        <v>332</v>
      </c>
      <c r="I60" t="s">
        <v>333</v>
      </c>
      <c r="J60" t="s">
        <v>334</v>
      </c>
      <c r="K60" t="s">
        <v>38</v>
      </c>
      <c r="L60" t="s">
        <v>335</v>
      </c>
      <c r="M60">
        <v>320</v>
      </c>
      <c r="N60">
        <v>320</v>
      </c>
      <c r="O60" t="s">
        <v>40</v>
      </c>
      <c r="P60">
        <v>10</v>
      </c>
      <c r="Q60">
        <f>N60/P60</f>
      </c>
      <c r="R60" s="1">
        <v>277</v>
      </c>
      <c r="S60" s="1">
        <v>277</v>
      </c>
      <c r="T60">
        <f>IF(R60=S60,"相符","不相符")</f>
      </c>
      <c r="U60" t="s">
        <v>336</v>
      </c>
      <c r="V60">
        <f>P60*R60</f>
      </c>
      <c r="W60">
        <f>Q60*V60</f>
      </c>
      <c r="X60">
        <v>730</v>
      </c>
      <c r="Y60" t="s">
        <v>316</v>
      </c>
      <c r="Z60" t="s">
        <v>42</v>
      </c>
      <c r="AA60"/>
      <c r="AB60"/>
      <c r="AC60" t="s">
        <v>49</v>
      </c>
      <c r="AD60"/>
    </row>
    <row r="61">
      <c r="A61" t="s">
        <v>30</v>
      </c>
      <c r="B61" t="s">
        <v>31</v>
      </c>
      <c r="C61" t="s">
        <v>294</v>
      </c>
      <c r="D61" t="s">
        <v>33</v>
      </c>
      <c r="E61" t="s">
        <v>34</v>
      </c>
      <c r="F61" s="2">
        <v>46288</v>
      </c>
      <c r="G61">
        <v>12</v>
      </c>
      <c r="H61" t="s">
        <v>66</v>
      </c>
      <c r="I61" t="s">
        <v>67</v>
      </c>
      <c r="J61" t="s">
        <v>68</v>
      </c>
      <c r="K61" t="s">
        <v>69</v>
      </c>
      <c r="L61" t="s">
        <v>70</v>
      </c>
      <c r="M61">
        <v>26</v>
      </c>
      <c r="N61">
        <v>26</v>
      </c>
      <c r="O61" t="s">
        <v>40</v>
      </c>
      <c r="P61">
        <v>4</v>
      </c>
      <c r="Q61">
        <f>N61/P61</f>
      </c>
      <c r="R61" s="1">
        <v>731</v>
      </c>
      <c r="S61" s="1">
        <v>731</v>
      </c>
      <c r="T61">
        <f>IF(R61=S61,"相符","不相符")</f>
      </c>
      <c r="U61" t="s">
        <v>71</v>
      </c>
      <c r="V61">
        <f>P61*R61</f>
      </c>
      <c r="W61">
        <f>Q61*V61</f>
      </c>
      <c r="X61">
        <v>540</v>
      </c>
      <c r="Y61" t="s">
        <v>305</v>
      </c>
      <c r="Z61" t="s">
        <v>42</v>
      </c>
      <c r="AA61"/>
      <c r="AB61"/>
      <c r="AC61" t="s">
        <v>43</v>
      </c>
      <c r="AD61"/>
    </row>
    <row r="62">
      <c r="A62" t="s">
        <v>30</v>
      </c>
      <c r="B62" t="s">
        <v>31</v>
      </c>
      <c r="C62" t="s">
        <v>294</v>
      </c>
      <c r="D62" t="s">
        <v>33</v>
      </c>
      <c r="E62" t="s">
        <v>34</v>
      </c>
      <c r="F62" s="2">
        <v>46288</v>
      </c>
      <c r="G62">
        <v>13</v>
      </c>
      <c r="H62" t="s">
        <v>79</v>
      </c>
      <c r="I62" t="s">
        <v>80</v>
      </c>
      <c r="J62" t="s">
        <v>81</v>
      </c>
      <c r="K62" t="s">
        <v>82</v>
      </c>
      <c r="L62" t="s">
        <v>83</v>
      </c>
      <c r="M62">
        <v>2</v>
      </c>
      <c r="N62">
        <v>2</v>
      </c>
      <c r="O62" t="s">
        <v>84</v>
      </c>
      <c r="P62">
        <v>1</v>
      </c>
      <c r="Q62">
        <f>N62/P62</f>
      </c>
      <c r="R62" s="1">
        <v>438</v>
      </c>
      <c r="S62" s="1">
        <v>438</v>
      </c>
      <c r="T62">
        <f>IF(R62=S62,"相符","不相符")</f>
      </c>
      <c r="U62" t="s">
        <v>85</v>
      </c>
      <c r="V62">
        <f>P62*R62</f>
      </c>
      <c r="W62">
        <f>Q62*V62</f>
      </c>
      <c r="X62">
        <v>730</v>
      </c>
      <c r="Y62" t="s">
        <v>337</v>
      </c>
      <c r="Z62" t="s">
        <v>42</v>
      </c>
      <c r="AA62"/>
      <c r="AB62"/>
      <c r="AC62" t="s">
        <v>43</v>
      </c>
      <c r="AD62"/>
    </row>
    <row r="63">
      <c r="A63" t="s">
        <v>30</v>
      </c>
      <c r="B63" t="s">
        <v>31</v>
      </c>
      <c r="C63" t="s">
        <v>294</v>
      </c>
      <c r="D63" t="s">
        <v>33</v>
      </c>
      <c r="E63" t="s">
        <v>34</v>
      </c>
      <c r="F63" s="2">
        <v>46288</v>
      </c>
      <c r="G63">
        <v>14</v>
      </c>
      <c r="H63" t="s">
        <v>338</v>
      </c>
      <c r="I63" t="s">
        <v>339</v>
      </c>
      <c r="J63" t="s">
        <v>340</v>
      </c>
      <c r="K63" t="s">
        <v>82</v>
      </c>
      <c r="L63" t="s">
        <v>341</v>
      </c>
      <c r="M63">
        <v>46</v>
      </c>
      <c r="N63">
        <v>46</v>
      </c>
      <c r="O63" t="s">
        <v>84</v>
      </c>
      <c r="P63">
        <v>1</v>
      </c>
      <c r="Q63">
        <f>N63/P63</f>
      </c>
      <c r="R63" s="1">
        <v>438</v>
      </c>
      <c r="S63" s="1">
        <v>438</v>
      </c>
      <c r="T63">
        <f>IF(R63=S63,"相符","不相符")</f>
      </c>
      <c r="U63" t="s">
        <v>342</v>
      </c>
      <c r="V63">
        <f>P63*R63</f>
      </c>
      <c r="W63">
        <f>Q63*V63</f>
      </c>
      <c r="X63">
        <v>730</v>
      </c>
      <c r="Y63" t="s">
        <v>343</v>
      </c>
      <c r="Z63" t="s">
        <v>42</v>
      </c>
      <c r="AA63"/>
      <c r="AB63"/>
      <c r="AC63" t="s">
        <v>43</v>
      </c>
      <c r="AD63"/>
    </row>
    <row r="64">
      <c r="A64" t="s">
        <v>30</v>
      </c>
      <c r="B64" t="s">
        <v>31</v>
      </c>
      <c r="C64" t="s">
        <v>294</v>
      </c>
      <c r="D64" t="s">
        <v>33</v>
      </c>
      <c r="E64" t="s">
        <v>34</v>
      </c>
      <c r="F64" s="2">
        <v>46288</v>
      </c>
      <c r="G64">
        <v>15</v>
      </c>
      <c r="H64" t="s">
        <v>163</v>
      </c>
      <c r="I64" t="s">
        <v>164</v>
      </c>
      <c r="J64" t="s">
        <v>165</v>
      </c>
      <c r="K64" t="s">
        <v>69</v>
      </c>
      <c r="L64" t="s">
        <v>166</v>
      </c>
      <c r="M64">
        <v>28</v>
      </c>
      <c r="N64">
        <v>28</v>
      </c>
      <c r="O64" t="s">
        <v>40</v>
      </c>
      <c r="P64">
        <v>4</v>
      </c>
      <c r="Q64">
        <f>N64/P64</f>
      </c>
      <c r="R64" s="1">
        <v>731</v>
      </c>
      <c r="S64" s="1">
        <v>731</v>
      </c>
      <c r="T64">
        <f>IF(R64=S64,"相符","不相符")</f>
      </c>
      <c r="U64" t="s">
        <v>167</v>
      </c>
      <c r="V64">
        <f>P64*R64</f>
      </c>
      <c r="W64">
        <f>Q64*V64</f>
      </c>
      <c r="X64">
        <v>540</v>
      </c>
      <c r="Y64" t="s">
        <v>344</v>
      </c>
      <c r="Z64" t="s">
        <v>42</v>
      </c>
      <c r="AA64"/>
      <c r="AB64"/>
      <c r="AC64" t="s">
        <v>43</v>
      </c>
      <c r="AD64"/>
    </row>
    <row r="65">
      <c r="A65" t="s">
        <v>30</v>
      </c>
      <c r="B65" t="s">
        <v>31</v>
      </c>
      <c r="C65" t="s">
        <v>294</v>
      </c>
      <c r="D65" t="s">
        <v>33</v>
      </c>
      <c r="E65" t="s">
        <v>34</v>
      </c>
      <c r="F65" s="2">
        <v>46288</v>
      </c>
      <c r="G65">
        <v>16</v>
      </c>
      <c r="H65" t="s">
        <v>345</v>
      </c>
      <c r="I65" t="s">
        <v>346</v>
      </c>
      <c r="J65" t="s">
        <v>347</v>
      </c>
      <c r="K65" t="s">
        <v>69</v>
      </c>
      <c r="L65" t="s">
        <v>348</v>
      </c>
      <c r="M65">
        <v>50</v>
      </c>
      <c r="N65">
        <v>50</v>
      </c>
      <c r="O65" t="s">
        <v>40</v>
      </c>
      <c r="P65">
        <v>4</v>
      </c>
      <c r="Q65">
        <f>N65/P65</f>
      </c>
      <c r="R65" s="1">
        <v>731</v>
      </c>
      <c r="S65" s="1">
        <v>731</v>
      </c>
      <c r="T65">
        <f>IF(R65=S65,"相符","不相符")</f>
      </c>
      <c r="U65" t="s">
        <v>349</v>
      </c>
      <c r="V65">
        <f>P65*R65</f>
      </c>
      <c r="W65">
        <f>Q65*V65</f>
      </c>
      <c r="X65">
        <v>540</v>
      </c>
      <c r="Y65" t="s">
        <v>305</v>
      </c>
      <c r="Z65" t="s">
        <v>42</v>
      </c>
      <c r="AA65"/>
      <c r="AB65"/>
      <c r="AC65" t="s">
        <v>43</v>
      </c>
      <c r="AD65"/>
    </row>
    <row r="66">
      <c r="A66" t="s">
        <v>30</v>
      </c>
      <c r="B66" t="s">
        <v>31</v>
      </c>
      <c r="C66" t="s">
        <v>294</v>
      </c>
      <c r="D66" t="s">
        <v>33</v>
      </c>
      <c r="E66" t="s">
        <v>34</v>
      </c>
      <c r="F66" s="2">
        <v>46288</v>
      </c>
      <c r="G66">
        <v>17</v>
      </c>
      <c r="H66" t="s">
        <v>103</v>
      </c>
      <c r="I66" t="s">
        <v>104</v>
      </c>
      <c r="J66" t="s">
        <v>105</v>
      </c>
      <c r="K66" t="s">
        <v>69</v>
      </c>
      <c r="L66" t="s">
        <v>106</v>
      </c>
      <c r="M66">
        <v>66</v>
      </c>
      <c r="N66">
        <v>66</v>
      </c>
      <c r="O66" t="s">
        <v>40</v>
      </c>
      <c r="P66">
        <v>4</v>
      </c>
      <c r="Q66">
        <f>N66/P66</f>
      </c>
      <c r="R66" s="1">
        <v>731</v>
      </c>
      <c r="S66" s="1">
        <v>731</v>
      </c>
      <c r="T66">
        <f>IF(R66=S66,"相符","不相符")</f>
      </c>
      <c r="U66" t="s">
        <v>107</v>
      </c>
      <c r="V66">
        <f>P66*R66</f>
      </c>
      <c r="W66">
        <f>Q66*V66</f>
      </c>
      <c r="X66">
        <v>540</v>
      </c>
      <c r="Y66" t="s">
        <v>305</v>
      </c>
      <c r="Z66" t="s">
        <v>42</v>
      </c>
      <c r="AA66"/>
      <c r="AB66"/>
      <c r="AC66" t="s">
        <v>43</v>
      </c>
      <c r="AD66"/>
    </row>
    <row r="67">
      <c r="A67" t="s">
        <v>30</v>
      </c>
      <c r="B67" t="s">
        <v>31</v>
      </c>
      <c r="C67" t="s">
        <v>294</v>
      </c>
      <c r="D67" t="s">
        <v>33</v>
      </c>
      <c r="E67" t="s">
        <v>34</v>
      </c>
      <c r="F67" s="2">
        <v>46288</v>
      </c>
      <c r="G67">
        <v>18</v>
      </c>
      <c r="H67" t="s">
        <v>350</v>
      </c>
      <c r="I67" t="s">
        <v>351</v>
      </c>
      <c r="J67" t="s">
        <v>352</v>
      </c>
      <c r="K67" t="s">
        <v>57</v>
      </c>
      <c r="L67" t="s">
        <v>353</v>
      </c>
      <c r="M67">
        <v>1</v>
      </c>
      <c r="N67">
        <v>1</v>
      </c>
      <c r="O67" t="s">
        <v>84</v>
      </c>
      <c r="P67">
        <v>1</v>
      </c>
      <c r="Q67">
        <f>N67/P67</f>
      </c>
      <c r="R67" s="1">
        <v>438</v>
      </c>
      <c r="S67" s="1">
        <v>438</v>
      </c>
      <c r="T67">
        <f>IF(R67=S67,"相符","不相符")</f>
      </c>
      <c r="U67" t="s">
        <v>352</v>
      </c>
      <c r="V67">
        <f>P67*R67</f>
      </c>
      <c r="W67">
        <f>Q67*V67</f>
      </c>
      <c r="X67">
        <v>730</v>
      </c>
      <c r="Y67" t="s">
        <v>316</v>
      </c>
      <c r="Z67" t="s">
        <v>42</v>
      </c>
      <c r="AA67"/>
      <c r="AB67"/>
      <c r="AC67" t="s">
        <v>43</v>
      </c>
      <c r="AD67"/>
    </row>
    <row r="68">
      <c r="A68" t="s">
        <v>30</v>
      </c>
      <c r="B68" t="s">
        <v>31</v>
      </c>
      <c r="C68" t="s">
        <v>294</v>
      </c>
      <c r="D68" t="s">
        <v>33</v>
      </c>
      <c r="E68" t="s">
        <v>34</v>
      </c>
      <c r="F68" s="2">
        <v>46288</v>
      </c>
      <c r="G68">
        <v>19</v>
      </c>
      <c r="H68" t="s">
        <v>169</v>
      </c>
      <c r="I68" t="s">
        <v>170</v>
      </c>
      <c r="J68" t="s">
        <v>171</v>
      </c>
      <c r="K68" t="s">
        <v>69</v>
      </c>
      <c r="L68" t="s">
        <v>172</v>
      </c>
      <c r="M68">
        <v>41</v>
      </c>
      <c r="N68">
        <v>41</v>
      </c>
      <c r="O68" t="s">
        <v>40</v>
      </c>
      <c r="P68">
        <v>4</v>
      </c>
      <c r="Q68">
        <f>N68/P68</f>
      </c>
      <c r="R68" s="1">
        <v>1170</v>
      </c>
      <c r="S68" s="1">
        <v>1170</v>
      </c>
      <c r="T68">
        <f>IF(R68=S68,"相符","不相符")</f>
      </c>
      <c r="U68" t="s">
        <v>173</v>
      </c>
      <c r="V68">
        <f>P68*R68</f>
      </c>
      <c r="W68">
        <f>Q68*V68</f>
      </c>
      <c r="X68">
        <v>540</v>
      </c>
      <c r="Y68" t="s">
        <v>354</v>
      </c>
      <c r="Z68" t="s">
        <v>42</v>
      </c>
      <c r="AA68"/>
      <c r="AB68"/>
      <c r="AC68" t="s">
        <v>43</v>
      </c>
      <c r="AD68"/>
    </row>
    <row r="69">
      <c r="A69" t="s">
        <v>30</v>
      </c>
      <c r="B69" t="s">
        <v>31</v>
      </c>
      <c r="C69" t="s">
        <v>294</v>
      </c>
      <c r="D69" t="s">
        <v>33</v>
      </c>
      <c r="E69" t="s">
        <v>34</v>
      </c>
      <c r="F69" s="2">
        <v>46288</v>
      </c>
      <c r="G69">
        <v>20</v>
      </c>
      <c r="H69" t="s">
        <v>355</v>
      </c>
      <c r="I69" t="s">
        <v>356</v>
      </c>
      <c r="J69" t="s">
        <v>357</v>
      </c>
      <c r="K69" t="s">
        <v>69</v>
      </c>
      <c r="L69" t="s">
        <v>358</v>
      </c>
      <c r="M69">
        <v>530</v>
      </c>
      <c r="N69">
        <v>530</v>
      </c>
      <c r="O69" t="s">
        <v>177</v>
      </c>
      <c r="P69">
        <v>40</v>
      </c>
      <c r="Q69">
        <f>N69/P69</f>
      </c>
      <c r="R69" s="1">
        <v>117</v>
      </c>
      <c r="S69" s="1">
        <v>117</v>
      </c>
      <c r="T69">
        <f>IF(R69=S69,"相符","不相符")</f>
      </c>
      <c r="U69" t="s">
        <v>359</v>
      </c>
      <c r="V69">
        <f>P69*R69</f>
      </c>
      <c r="W69">
        <f>Q69*V69</f>
      </c>
      <c r="X69">
        <v>540</v>
      </c>
      <c r="Y69" t="s">
        <v>305</v>
      </c>
      <c r="Z69" t="s">
        <v>42</v>
      </c>
      <c r="AA69"/>
      <c r="AB69"/>
      <c r="AC69" t="s">
        <v>43</v>
      </c>
      <c r="AD69"/>
    </row>
    <row r="70">
      <c r="A70" t="s">
        <v>30</v>
      </c>
      <c r="B70" t="s">
        <v>31</v>
      </c>
      <c r="C70" t="s">
        <v>294</v>
      </c>
      <c r="D70" t="s">
        <v>33</v>
      </c>
      <c r="E70" t="s">
        <v>34</v>
      </c>
      <c r="F70" s="2">
        <v>46288</v>
      </c>
      <c r="G70">
        <v>21</v>
      </c>
      <c r="H70" t="s">
        <v>108</v>
      </c>
      <c r="I70" t="s">
        <v>109</v>
      </c>
      <c r="J70" t="s">
        <v>110</v>
      </c>
      <c r="K70" t="s">
        <v>57</v>
      </c>
      <c r="L70" t="s">
        <v>111</v>
      </c>
      <c r="M70">
        <v>68</v>
      </c>
      <c r="N70">
        <v>68</v>
      </c>
      <c r="O70" t="s">
        <v>84</v>
      </c>
      <c r="P70">
        <v>1</v>
      </c>
      <c r="Q70">
        <f>N70/P70</f>
      </c>
      <c r="R70" s="1">
        <v>394</v>
      </c>
      <c r="S70" s="1">
        <v>394</v>
      </c>
      <c r="T70">
        <f>IF(R70=S70,"相符","不相符")</f>
      </c>
      <c r="U70" t="s">
        <v>110</v>
      </c>
      <c r="V70">
        <f>P70*R70</f>
      </c>
      <c r="W70">
        <f>Q70*V70</f>
      </c>
      <c r="X70">
        <v>730</v>
      </c>
      <c r="Y70" t="s">
        <v>316</v>
      </c>
      <c r="Z70" t="s">
        <v>42</v>
      </c>
      <c r="AA70"/>
      <c r="AB70"/>
      <c r="AC70" t="s">
        <v>43</v>
      </c>
      <c r="AD70"/>
    </row>
    <row r="71">
      <c r="A71" t="s">
        <v>30</v>
      </c>
      <c r="B71" t="s">
        <v>31</v>
      </c>
      <c r="C71" t="s">
        <v>294</v>
      </c>
      <c r="D71" t="s">
        <v>33</v>
      </c>
      <c r="E71" t="s">
        <v>34</v>
      </c>
      <c r="F71" s="2">
        <v>46288</v>
      </c>
      <c r="G71">
        <v>22</v>
      </c>
      <c r="H71" t="s">
        <v>360</v>
      </c>
      <c r="I71" t="s">
        <v>361</v>
      </c>
      <c r="J71" t="s">
        <v>362</v>
      </c>
      <c r="K71" t="s">
        <v>82</v>
      </c>
      <c r="L71" t="s">
        <v>363</v>
      </c>
      <c r="M71">
        <v>89</v>
      </c>
      <c r="N71">
        <v>89</v>
      </c>
      <c r="O71" t="s">
        <v>84</v>
      </c>
      <c r="P71">
        <v>1</v>
      </c>
      <c r="Q71">
        <f>N71/P71</f>
      </c>
      <c r="R71" s="1">
        <v>635</v>
      </c>
      <c r="S71" s="1">
        <v>635</v>
      </c>
      <c r="T71">
        <f>IF(R71=S71,"相符","不相符")</f>
      </c>
      <c r="U71" t="s">
        <v>362</v>
      </c>
      <c r="V71">
        <f>P71*R71</f>
      </c>
      <c r="W71">
        <f>Q71*V71</f>
      </c>
      <c r="X71">
        <v>730</v>
      </c>
      <c r="Y71" t="s">
        <v>364</v>
      </c>
      <c r="Z71" t="s">
        <v>42</v>
      </c>
      <c r="AA71"/>
      <c r="AB71"/>
      <c r="AC71" t="s">
        <v>43</v>
      </c>
      <c r="AD71"/>
    </row>
    <row r="72">
      <c r="A72" t="s">
        <v>30</v>
      </c>
      <c r="B72" t="s">
        <v>31</v>
      </c>
      <c r="C72" t="s">
        <v>294</v>
      </c>
      <c r="D72" t="s">
        <v>33</v>
      </c>
      <c r="E72" t="s">
        <v>34</v>
      </c>
      <c r="F72" s="2">
        <v>46288</v>
      </c>
      <c r="G72">
        <v>23</v>
      </c>
      <c r="H72" t="s">
        <v>112</v>
      </c>
      <c r="I72" t="s">
        <v>113</v>
      </c>
      <c r="J72" t="s">
        <v>114</v>
      </c>
      <c r="K72" t="s">
        <v>82</v>
      </c>
      <c r="L72" t="s">
        <v>115</v>
      </c>
      <c r="M72">
        <v>59</v>
      </c>
      <c r="N72">
        <v>59</v>
      </c>
      <c r="O72" t="s">
        <v>84</v>
      </c>
      <c r="P72">
        <v>1</v>
      </c>
      <c r="Q72">
        <f>N72/P72</f>
      </c>
      <c r="R72" s="1">
        <v>635</v>
      </c>
      <c r="S72" s="1">
        <v>635</v>
      </c>
      <c r="T72">
        <f>IF(R72=S72,"相符","不相符")</f>
      </c>
      <c r="U72" t="s">
        <v>114</v>
      </c>
      <c r="V72">
        <f>P72*R72</f>
      </c>
      <c r="W72">
        <f>Q72*V72</f>
      </c>
      <c r="X72">
        <v>730</v>
      </c>
      <c r="Y72" t="s">
        <v>364</v>
      </c>
      <c r="Z72" t="s">
        <v>42</v>
      </c>
      <c r="AA72"/>
      <c r="AB72"/>
      <c r="AC72" t="s">
        <v>43</v>
      </c>
      <c r="AD72"/>
    </row>
    <row r="73">
      <c r="A73" t="s">
        <v>30</v>
      </c>
      <c r="B73" t="s">
        <v>31</v>
      </c>
      <c r="C73" t="s">
        <v>294</v>
      </c>
      <c r="D73" t="s">
        <v>33</v>
      </c>
      <c r="E73" t="s">
        <v>34</v>
      </c>
      <c r="F73" s="2">
        <v>46288</v>
      </c>
      <c r="G73">
        <v>24</v>
      </c>
      <c r="H73" t="s">
        <v>365</v>
      </c>
      <c r="I73" t="s">
        <v>366</v>
      </c>
      <c r="J73" t="s">
        <v>131</v>
      </c>
      <c r="K73" t="s">
        <v>38</v>
      </c>
      <c r="L73" t="s">
        <v>367</v>
      </c>
      <c r="M73">
        <v>2</v>
      </c>
      <c r="N73">
        <v>2</v>
      </c>
      <c r="O73" t="s">
        <v>84</v>
      </c>
      <c r="P73">
        <v>1</v>
      </c>
      <c r="Q73">
        <f>N73/P73</f>
      </c>
      <c r="R73" s="1">
        <v>2774</v>
      </c>
      <c r="S73" s="1">
        <v>2770</v>
      </c>
      <c r="T73">
        <f>IF(R73=S73,"相符","不相符")</f>
      </c>
      <c r="U73" t="s">
        <v>133</v>
      </c>
      <c r="V73">
        <f>P73*R73</f>
      </c>
      <c r="W73">
        <f>Q73*V73</f>
      </c>
      <c r="X73">
        <v>730</v>
      </c>
      <c r="Y73" t="s">
        <v>364</v>
      </c>
      <c r="Z73" t="s">
        <v>42</v>
      </c>
      <c r="AA73"/>
      <c r="AB73"/>
      <c r="AC73" t="s">
        <v>49</v>
      </c>
      <c r="AD73"/>
    </row>
    <row r="74">
      <c r="A74" t="s">
        <v>30</v>
      </c>
      <c r="B74" t="s">
        <v>31</v>
      </c>
      <c r="C74" t="s">
        <v>294</v>
      </c>
      <c r="D74" t="s">
        <v>33</v>
      </c>
      <c r="E74" t="s">
        <v>34</v>
      </c>
      <c r="F74" s="2">
        <v>46288</v>
      </c>
      <c r="G74">
        <v>25</v>
      </c>
      <c r="H74" t="s">
        <v>368</v>
      </c>
      <c r="I74" t="s">
        <v>369</v>
      </c>
      <c r="J74" t="s">
        <v>46</v>
      </c>
      <c r="K74" t="s">
        <v>38</v>
      </c>
      <c r="L74" t="s">
        <v>370</v>
      </c>
      <c r="M74">
        <v>2</v>
      </c>
      <c r="N74">
        <v>2</v>
      </c>
      <c r="O74" t="s">
        <v>84</v>
      </c>
      <c r="P74">
        <v>1</v>
      </c>
      <c r="Q74">
        <f>N74/P74</f>
      </c>
      <c r="R74" s="1">
        <v>2774</v>
      </c>
      <c r="S74" s="1">
        <v>2770</v>
      </c>
      <c r="T74">
        <f>IF(R74=S74,"相符","不相符")</f>
      </c>
      <c r="U74" t="s">
        <v>48</v>
      </c>
      <c r="V74">
        <f>P74*R74</f>
      </c>
      <c r="W74">
        <f>Q74*V74</f>
      </c>
      <c r="X74">
        <v>730</v>
      </c>
      <c r="Y74" t="s">
        <v>316</v>
      </c>
      <c r="Z74" t="s">
        <v>42</v>
      </c>
      <c r="AA74"/>
      <c r="AB74"/>
      <c r="AC74" t="s">
        <v>49</v>
      </c>
      <c r="AD74"/>
    </row>
    <row r="75">
      <c r="A75" t="s">
        <v>30</v>
      </c>
      <c r="B75" t="s">
        <v>31</v>
      </c>
      <c r="C75" t="s">
        <v>294</v>
      </c>
      <c r="D75" t="s">
        <v>33</v>
      </c>
      <c r="E75" t="s">
        <v>34</v>
      </c>
      <c r="F75" s="2">
        <v>46288</v>
      </c>
      <c r="G75">
        <v>26</v>
      </c>
      <c r="H75" t="s">
        <v>371</v>
      </c>
      <c r="I75" t="s">
        <v>372</v>
      </c>
      <c r="J75" t="s">
        <v>334</v>
      </c>
      <c r="K75" t="s">
        <v>38</v>
      </c>
      <c r="L75" t="s">
        <v>373</v>
      </c>
      <c r="M75">
        <v>2</v>
      </c>
      <c r="N75">
        <v>2</v>
      </c>
      <c r="O75" t="s">
        <v>84</v>
      </c>
      <c r="P75">
        <v>1</v>
      </c>
      <c r="Q75">
        <f>N75/P75</f>
      </c>
      <c r="R75" s="1">
        <v>2774</v>
      </c>
      <c r="S75" s="1">
        <v>2770</v>
      </c>
      <c r="T75">
        <f>IF(R75=S75,"相符","不相符")</f>
      </c>
      <c r="U75" t="s">
        <v>336</v>
      </c>
      <c r="V75">
        <f>P75*R75</f>
      </c>
      <c r="W75">
        <f>Q75*V75</f>
      </c>
      <c r="X75">
        <v>730</v>
      </c>
      <c r="Y75" t="s">
        <v>316</v>
      </c>
      <c r="Z75" t="s">
        <v>42</v>
      </c>
      <c r="AA75"/>
      <c r="AB75"/>
      <c r="AC75" t="s">
        <v>49</v>
      </c>
      <c r="AD75"/>
    </row>
    <row r="76">
      <c r="A76" t="s">
        <v>30</v>
      </c>
      <c r="B76" t="s">
        <v>31</v>
      </c>
      <c r="C76" t="s">
        <v>294</v>
      </c>
      <c r="D76" t="s">
        <v>33</v>
      </c>
      <c r="E76" t="s">
        <v>34</v>
      </c>
      <c r="F76" s="2">
        <v>46288</v>
      </c>
      <c r="G76">
        <v>27</v>
      </c>
      <c r="H76" t="s">
        <v>374</v>
      </c>
      <c r="I76" t="s">
        <v>375</v>
      </c>
      <c r="J76" t="s">
        <v>376</v>
      </c>
      <c r="K76" t="s">
        <v>377</v>
      </c>
      <c r="L76" t="s">
        <v>378</v>
      </c>
      <c r="M76">
        <v>2</v>
      </c>
      <c r="N76">
        <v>2</v>
      </c>
      <c r="O76" t="s">
        <v>84</v>
      </c>
      <c r="P76">
        <v>1</v>
      </c>
      <c r="Q76">
        <f>N76/P76</f>
      </c>
      <c r="R76" s="1">
        <v>7896</v>
      </c>
      <c r="S76" s="1">
        <v>7896</v>
      </c>
      <c r="T76">
        <f>IF(R76=S76,"相符","不相符")</f>
      </c>
      <c r="U76" t="s">
        <v>376</v>
      </c>
      <c r="V76">
        <f>P76*R76</f>
      </c>
      <c r="W76">
        <f>Q76*V76</f>
      </c>
      <c r="X76">
        <v>540</v>
      </c>
      <c r="Y76" t="s">
        <v>299</v>
      </c>
      <c r="Z76" t="s">
        <v>42</v>
      </c>
      <c r="AA76"/>
      <c r="AB76"/>
      <c r="AC76" t="s">
        <v>43</v>
      </c>
      <c r="AD76"/>
    </row>
    <row r="77">
      <c r="A77" t="s">
        <v>30</v>
      </c>
      <c r="B77" t="s">
        <v>31</v>
      </c>
      <c r="C77" t="s">
        <v>294</v>
      </c>
      <c r="D77" t="s">
        <v>33</v>
      </c>
      <c r="E77" t="s">
        <v>34</v>
      </c>
      <c r="F77" s="2">
        <v>46288</v>
      </c>
      <c r="G77">
        <v>28</v>
      </c>
      <c r="H77" t="s">
        <v>379</v>
      </c>
      <c r="I77" t="s">
        <v>380</v>
      </c>
      <c r="J77" t="s">
        <v>330</v>
      </c>
      <c r="K77" t="s">
        <v>82</v>
      </c>
      <c r="L77" t="s">
        <v>381</v>
      </c>
      <c r="M77">
        <v>5</v>
      </c>
      <c r="N77">
        <v>5</v>
      </c>
      <c r="O77" t="s">
        <v>84</v>
      </c>
      <c r="P77">
        <v>1</v>
      </c>
      <c r="Q77">
        <f>N77/P77</f>
      </c>
      <c r="R77" s="1">
        <v>1984</v>
      </c>
      <c r="S77" s="1">
        <v>1832</v>
      </c>
      <c r="T77">
        <f>IF(R77=S77,"相符","不相符")</f>
      </c>
      <c r="U77" t="s">
        <v>330</v>
      </c>
      <c r="V77">
        <f>P77*R77</f>
      </c>
      <c r="W77">
        <f>Q77*V77</f>
      </c>
      <c r="X77">
        <v>730</v>
      </c>
      <c r="Y77" t="s">
        <v>316</v>
      </c>
      <c r="Z77" t="s">
        <v>42</v>
      </c>
      <c r="AA77"/>
      <c r="AB77"/>
      <c r="AC77" t="s">
        <v>49</v>
      </c>
      <c r="AD77"/>
    </row>
    <row r="78">
      <c r="A78" t="s">
        <v>30</v>
      </c>
      <c r="B78" t="s">
        <v>31</v>
      </c>
      <c r="C78" t="s">
        <v>294</v>
      </c>
      <c r="D78" t="s">
        <v>33</v>
      </c>
      <c r="E78" t="s">
        <v>34</v>
      </c>
      <c r="F78" s="2">
        <v>46288</v>
      </c>
      <c r="G78">
        <v>29</v>
      </c>
      <c r="H78" t="s">
        <v>382</v>
      </c>
      <c r="I78" t="s">
        <v>383</v>
      </c>
      <c r="J78" t="s">
        <v>384</v>
      </c>
      <c r="K78" t="s">
        <v>38</v>
      </c>
      <c r="L78" t="s">
        <v>385</v>
      </c>
      <c r="M78">
        <v>2</v>
      </c>
      <c r="N78">
        <v>2</v>
      </c>
      <c r="O78" t="s">
        <v>84</v>
      </c>
      <c r="P78">
        <v>1</v>
      </c>
      <c r="Q78">
        <f>N78/P78</f>
      </c>
      <c r="R78" s="1">
        <v>3060</v>
      </c>
      <c r="S78" s="1">
        <v>2808</v>
      </c>
      <c r="T78">
        <f>IF(R78=S78,"相符","不相符")</f>
      </c>
      <c r="U78" t="s">
        <v>386</v>
      </c>
      <c r="V78">
        <f>P78*R78</f>
      </c>
      <c r="W78">
        <f>Q78*V78</f>
      </c>
      <c r="X78">
        <v>450</v>
      </c>
      <c r="Y78" t="s">
        <v>304</v>
      </c>
      <c r="Z78" t="s">
        <v>42</v>
      </c>
      <c r="AA78"/>
      <c r="AB78"/>
      <c r="AC78" t="s">
        <v>49</v>
      </c>
      <c r="AD78"/>
    </row>
    <row r="79">
      <c r="A79" t="s">
        <v>30</v>
      </c>
      <c r="B79" t="s">
        <v>31</v>
      </c>
      <c r="C79" t="s">
        <v>294</v>
      </c>
      <c r="D79" t="s">
        <v>33</v>
      </c>
      <c r="E79" t="s">
        <v>34</v>
      </c>
      <c r="F79" s="2">
        <v>46288</v>
      </c>
      <c r="G79">
        <v>30</v>
      </c>
      <c r="H79" t="s">
        <v>387</v>
      </c>
      <c r="I79" t="s">
        <v>388</v>
      </c>
      <c r="J79" t="s">
        <v>389</v>
      </c>
      <c r="K79" t="s">
        <v>377</v>
      </c>
      <c r="L79" t="s">
        <v>390</v>
      </c>
      <c r="M79">
        <v>2</v>
      </c>
      <c r="N79">
        <v>2</v>
      </c>
      <c r="O79" t="s">
        <v>84</v>
      </c>
      <c r="P79">
        <v>1</v>
      </c>
      <c r="Q79">
        <f>N79/P79</f>
      </c>
      <c r="R79" s="1">
        <v>7896</v>
      </c>
      <c r="S79" s="1">
        <v>7896</v>
      </c>
      <c r="T79">
        <f>IF(R79=S79,"相符","不相符")</f>
      </c>
      <c r="U79" t="s">
        <v>389</v>
      </c>
      <c r="V79">
        <f>P79*R79</f>
      </c>
      <c r="W79">
        <f>Q79*V79</f>
      </c>
      <c r="X79">
        <v>540</v>
      </c>
      <c r="Y79" t="s">
        <v>299</v>
      </c>
      <c r="Z79" t="s">
        <v>42</v>
      </c>
      <c r="AA79"/>
      <c r="AB79"/>
      <c r="AC79" t="s">
        <v>43</v>
      </c>
      <c r="AD79"/>
    </row>
    <row r="80">
      <c r="A80" t="s">
        <v>30</v>
      </c>
      <c r="B80" t="s">
        <v>31</v>
      </c>
      <c r="C80" t="s">
        <v>294</v>
      </c>
      <c r="D80" t="s">
        <v>33</v>
      </c>
      <c r="E80" t="s">
        <v>34</v>
      </c>
      <c r="F80" s="2">
        <v>46288</v>
      </c>
      <c r="G80">
        <v>31</v>
      </c>
      <c r="H80" t="s">
        <v>391</v>
      </c>
      <c r="I80" t="s">
        <v>392</v>
      </c>
      <c r="J80" t="s">
        <v>393</v>
      </c>
      <c r="K80" t="s">
        <v>377</v>
      </c>
      <c r="L80" t="s">
        <v>394</v>
      </c>
      <c r="M80">
        <v>2</v>
      </c>
      <c r="N80">
        <v>2</v>
      </c>
      <c r="O80" t="s">
        <v>84</v>
      </c>
      <c r="P80">
        <v>1</v>
      </c>
      <c r="Q80">
        <f>N80/P80</f>
      </c>
      <c r="R80" s="1">
        <v>7896</v>
      </c>
      <c r="S80" s="1">
        <v>7896</v>
      </c>
      <c r="T80">
        <f>IF(R80=S80,"相符","不相符")</f>
      </c>
      <c r="U80" t="s">
        <v>393</v>
      </c>
      <c r="V80">
        <f>P80*R80</f>
      </c>
      <c r="W80">
        <f>Q80*V80</f>
      </c>
      <c r="X80">
        <v>540</v>
      </c>
      <c r="Y80" t="s">
        <v>305</v>
      </c>
      <c r="Z80" t="s">
        <v>42</v>
      </c>
      <c r="AA80"/>
      <c r="AB80"/>
      <c r="AC80" t="s">
        <v>43</v>
      </c>
      <c r="AD80"/>
    </row>
    <row r="81">
      <c r="A81" t="s">
        <v>30</v>
      </c>
      <c r="B81" t="s">
        <v>31</v>
      </c>
      <c r="C81" t="s">
        <v>294</v>
      </c>
      <c r="D81" t="s">
        <v>33</v>
      </c>
      <c r="E81" t="s">
        <v>34</v>
      </c>
      <c r="F81" s="2">
        <v>46288</v>
      </c>
      <c r="G81">
        <v>32</v>
      </c>
      <c r="H81" t="s">
        <v>395</v>
      </c>
      <c r="I81" t="s">
        <v>396</v>
      </c>
      <c r="J81" t="s">
        <v>186</v>
      </c>
      <c r="K81" t="s">
        <v>69</v>
      </c>
      <c r="L81" t="s">
        <v>397</v>
      </c>
      <c r="M81">
        <v>23</v>
      </c>
      <c r="N81">
        <v>23</v>
      </c>
      <c r="O81" t="s">
        <v>40</v>
      </c>
      <c r="P81">
        <v>4</v>
      </c>
      <c r="Q81">
        <f>N81/P81</f>
      </c>
      <c r="R81" s="1">
        <v>1182</v>
      </c>
      <c r="S81" s="1">
        <v>1182</v>
      </c>
      <c r="T81">
        <f>IF(R81=S81,"相符","不相符")</f>
      </c>
      <c r="U81" t="s">
        <v>186</v>
      </c>
      <c r="V81">
        <f>P81*R81</f>
      </c>
      <c r="W81">
        <f>Q81*V81</f>
      </c>
      <c r="X81">
        <v>540</v>
      </c>
      <c r="Y81" t="s">
        <v>354</v>
      </c>
      <c r="Z81" t="s">
        <v>42</v>
      </c>
      <c r="AA81"/>
      <c r="AB81"/>
      <c r="AC81" t="s">
        <v>43</v>
      </c>
      <c r="AD81"/>
    </row>
    <row r="82">
      <c r="A82" t="s">
        <v>30</v>
      </c>
      <c r="B82" t="s">
        <v>31</v>
      </c>
      <c r="C82" t="s">
        <v>294</v>
      </c>
      <c r="D82" t="s">
        <v>33</v>
      </c>
      <c r="E82" t="s">
        <v>34</v>
      </c>
      <c r="F82" s="2">
        <v>46288</v>
      </c>
      <c r="G82">
        <v>33</v>
      </c>
      <c r="H82" t="s">
        <v>398</v>
      </c>
      <c r="I82" t="s">
        <v>399</v>
      </c>
      <c r="J82" t="s">
        <v>400</v>
      </c>
      <c r="K82" t="s">
        <v>69</v>
      </c>
      <c r="L82" t="s">
        <v>401</v>
      </c>
      <c r="M82">
        <v>28</v>
      </c>
      <c r="N82">
        <v>28</v>
      </c>
      <c r="O82" t="s">
        <v>40</v>
      </c>
      <c r="P82">
        <v>4</v>
      </c>
      <c r="Q82">
        <f>N82/P82</f>
      </c>
      <c r="R82" s="1">
        <v>739</v>
      </c>
      <c r="S82" s="1">
        <v>739</v>
      </c>
      <c r="T82">
        <f>IF(R82=S82,"相符","不相符")</f>
      </c>
      <c r="U82" t="s">
        <v>400</v>
      </c>
      <c r="V82">
        <f>P82*R82</f>
      </c>
      <c r="W82">
        <f>Q82*V82</f>
      </c>
      <c r="X82">
        <v>540</v>
      </c>
      <c r="Y82" t="s">
        <v>305</v>
      </c>
      <c r="Z82" t="s">
        <v>42</v>
      </c>
      <c r="AA82"/>
      <c r="AB82"/>
      <c r="AC82" t="s">
        <v>43</v>
      </c>
      <c r="AD82"/>
    </row>
    <row r="83">
      <c r="A83" t="s">
        <v>30</v>
      </c>
      <c r="B83" t="s">
        <v>31</v>
      </c>
      <c r="C83" t="s">
        <v>294</v>
      </c>
      <c r="D83" t="s">
        <v>33</v>
      </c>
      <c r="E83" t="s">
        <v>34</v>
      </c>
      <c r="F83" s="2">
        <v>46288</v>
      </c>
      <c r="G83">
        <v>34</v>
      </c>
      <c r="H83" t="s">
        <v>402</v>
      </c>
      <c r="I83" t="s">
        <v>403</v>
      </c>
      <c r="J83" t="s">
        <v>404</v>
      </c>
      <c r="K83" t="s">
        <v>210</v>
      </c>
      <c r="L83" t="s">
        <v>405</v>
      </c>
      <c r="M83">
        <v>30</v>
      </c>
      <c r="N83">
        <v>30</v>
      </c>
      <c r="O83" t="s">
        <v>177</v>
      </c>
      <c r="P83">
        <v>10</v>
      </c>
      <c r="Q83">
        <f>N83/P83</f>
      </c>
      <c r="R83" s="1">
        <v>73.2</v>
      </c>
      <c r="S83" s="1">
        <v>73.2</v>
      </c>
      <c r="T83">
        <f>IF(R83=S83,"相符","不相符")</f>
      </c>
      <c r="U83" t="s">
        <v>404</v>
      </c>
      <c r="V83">
        <f>P83*R83</f>
      </c>
      <c r="W83">
        <f>Q83*V83</f>
      </c>
      <c r="X83">
        <v>541</v>
      </c>
      <c r="Y83" t="s">
        <v>305</v>
      </c>
      <c r="Z83" t="s">
        <v>42</v>
      </c>
      <c r="AA83"/>
      <c r="AB83"/>
      <c r="AC83" t="s">
        <v>43</v>
      </c>
      <c r="AD83"/>
    </row>
    <row r="84">
      <c r="A84" t="s">
        <v>30</v>
      </c>
      <c r="B84" t="s">
        <v>31</v>
      </c>
      <c r="C84" t="s">
        <v>406</v>
      </c>
      <c r="D84" t="s">
        <v>407</v>
      </c>
      <c r="E84" t="s">
        <v>408</v>
      </c>
      <c r="F84" s="2">
        <v>46287</v>
      </c>
      <c r="G84">
        <v>1</v>
      </c>
      <c r="H84" t="s">
        <v>207</v>
      </c>
      <c r="I84" t="s">
        <v>208</v>
      </c>
      <c r="J84" t="s">
        <v>209</v>
      </c>
      <c r="K84" t="s">
        <v>210</v>
      </c>
      <c r="L84" t="s">
        <v>211</v>
      </c>
      <c r="M84">
        <v>50</v>
      </c>
      <c r="N84">
        <v>50</v>
      </c>
      <c r="O84" t="s">
        <v>84</v>
      </c>
      <c r="P84">
        <v>1</v>
      </c>
      <c r="Q84">
        <f>N84/P84</f>
      </c>
      <c r="R84" s="1">
        <v>613</v>
      </c>
      <c r="S84" s="1">
        <v>613</v>
      </c>
      <c r="T84">
        <f>IF(R84=S84,"相符","不相符")</f>
      </c>
      <c r="U84" t="s">
        <v>209</v>
      </c>
      <c r="V84">
        <f>P84*R84</f>
      </c>
      <c r="W84">
        <f>Q84*V84</f>
      </c>
      <c r="X84">
        <v>540</v>
      </c>
      <c r="Y84" t="s">
        <v>409</v>
      </c>
      <c r="Z84" t="s">
        <v>42</v>
      </c>
      <c r="AA84"/>
      <c r="AB84"/>
      <c r="AC84" t="s">
        <v>43</v>
      </c>
      <c r="AD84"/>
    </row>
    <row r="85">
      <c r="A85" t="s">
        <v>30</v>
      </c>
      <c r="B85" t="s">
        <v>31</v>
      </c>
      <c r="C85" t="s">
        <v>406</v>
      </c>
      <c r="D85" t="s">
        <v>407</v>
      </c>
      <c r="E85" t="s">
        <v>408</v>
      </c>
      <c r="F85" s="2">
        <v>46287</v>
      </c>
      <c r="G85">
        <v>2</v>
      </c>
      <c r="H85" t="s">
        <v>410</v>
      </c>
      <c r="I85" t="s">
        <v>411</v>
      </c>
      <c r="J85" t="s">
        <v>412</v>
      </c>
      <c r="K85" t="s">
        <v>210</v>
      </c>
      <c r="L85" t="s">
        <v>413</v>
      </c>
      <c r="M85">
        <v>50</v>
      </c>
      <c r="N85">
        <v>50</v>
      </c>
      <c r="O85" t="s">
        <v>84</v>
      </c>
      <c r="P85">
        <v>1</v>
      </c>
      <c r="Q85">
        <f>N85/P85</f>
      </c>
      <c r="R85" s="1">
        <v>960</v>
      </c>
      <c r="S85" s="1">
        <v>960</v>
      </c>
      <c r="T85">
        <f>IF(R85=S85,"相符","不相符")</f>
      </c>
      <c r="U85" t="s">
        <v>414</v>
      </c>
      <c r="V85">
        <f>P85*R85</f>
      </c>
      <c r="W85">
        <f>Q85*V85</f>
      </c>
      <c r="X85">
        <v>730</v>
      </c>
      <c r="Y85" t="s">
        <v>415</v>
      </c>
      <c r="Z85" t="s">
        <v>42</v>
      </c>
      <c r="AA85"/>
      <c r="AB85"/>
      <c r="AC85" t="s">
        <v>43</v>
      </c>
      <c r="AD85"/>
    </row>
    <row r="86">
      <c r="A86" t="s">
        <v>30</v>
      </c>
      <c r="B86" t="s">
        <v>189</v>
      </c>
      <c r="C86" t="s">
        <v>416</v>
      </c>
      <c r="D86" t="s">
        <v>33</v>
      </c>
      <c r="E86" t="s">
        <v>34</v>
      </c>
      <c r="F86" s="2">
        <v>46276</v>
      </c>
      <c r="G86">
        <v>1</v>
      </c>
      <c r="H86" t="s">
        <v>417</v>
      </c>
      <c r="I86" t="s">
        <v>418</v>
      </c>
      <c r="J86" t="s">
        <v>418</v>
      </c>
      <c r="K86" t="s">
        <v>419</v>
      </c>
      <c r="L86" t="s">
        <v>420</v>
      </c>
      <c r="M86">
        <v>242</v>
      </c>
      <c r="N86">
        <v>240</v>
      </c>
      <c r="O86" t="s">
        <v>177</v>
      </c>
      <c r="P86">
        <v>4</v>
      </c>
      <c r="Q86">
        <f>N86/P86</f>
      </c>
      <c r="R86" s="1">
        <v>323</v>
      </c>
      <c r="S86" s="1">
        <v>323</v>
      </c>
      <c r="T86">
        <f>IF(R86=S86,"相符","不相符")</f>
      </c>
      <c r="U86"/>
      <c r="V86">
        <f>P86*R86</f>
      </c>
      <c r="W86">
        <f>Q86*V86</f>
      </c>
      <c r="X86">
        <v>1095</v>
      </c>
      <c r="Y86" t="s">
        <v>421</v>
      </c>
      <c r="Z86" t="s">
        <v>422</v>
      </c>
      <c r="AA86"/>
      <c r="AB86"/>
      <c r="AC86" t="s">
        <v>49</v>
      </c>
      <c r="AD86"/>
    </row>
    <row r="87">
      <c r="A87" t="s">
        <v>30</v>
      </c>
      <c r="B87" t="s">
        <v>189</v>
      </c>
      <c r="C87" t="s">
        <v>423</v>
      </c>
      <c r="D87" t="s">
        <v>33</v>
      </c>
      <c r="E87" t="s">
        <v>34</v>
      </c>
      <c r="F87" s="2">
        <v>46276</v>
      </c>
      <c r="G87">
        <v>1</v>
      </c>
      <c r="H87" t="s">
        <v>424</v>
      </c>
      <c r="I87" t="s">
        <v>425</v>
      </c>
      <c r="J87" t="s">
        <v>425</v>
      </c>
      <c r="K87" t="s">
        <v>426</v>
      </c>
      <c r="L87" t="s">
        <v>427</v>
      </c>
      <c r="M87">
        <v>1200</v>
      </c>
      <c r="N87">
        <v>1200</v>
      </c>
      <c r="O87" t="s">
        <v>240</v>
      </c>
      <c r="P87">
        <v>12</v>
      </c>
      <c r="Q87">
        <f>N87/P87</f>
      </c>
      <c r="R87" s="1">
        <v>106</v>
      </c>
      <c r="S87" s="1">
        <v>106</v>
      </c>
      <c r="T87">
        <f>IF(R87=S87,"相符","不相符")</f>
      </c>
      <c r="U87"/>
      <c r="V87">
        <f>P87*R87</f>
      </c>
      <c r="W87">
        <f>Q87*V87</f>
      </c>
      <c r="X87">
        <v>540</v>
      </c>
      <c r="Y87" t="s">
        <v>428</v>
      </c>
      <c r="Z87" t="s">
        <v>422</v>
      </c>
      <c r="AA87"/>
      <c r="AB87"/>
      <c r="AC87" t="s">
        <v>49</v>
      </c>
      <c r="AD87"/>
    </row>
    <row r="88">
      <c r="A88" t="s">
        <v>30</v>
      </c>
      <c r="B88" t="s">
        <v>189</v>
      </c>
      <c r="C88" t="s">
        <v>423</v>
      </c>
      <c r="D88" t="s">
        <v>33</v>
      </c>
      <c r="E88" t="s">
        <v>34</v>
      </c>
      <c r="F88" s="2">
        <v>46276</v>
      </c>
      <c r="G88">
        <v>2</v>
      </c>
      <c r="H88" t="s">
        <v>429</v>
      </c>
      <c r="I88" t="s">
        <v>430</v>
      </c>
      <c r="J88" t="s">
        <v>430</v>
      </c>
      <c r="K88" t="s">
        <v>426</v>
      </c>
      <c r="L88" t="s">
        <v>431</v>
      </c>
      <c r="M88">
        <v>1200</v>
      </c>
      <c r="N88">
        <v>1200</v>
      </c>
      <c r="O88" t="s">
        <v>240</v>
      </c>
      <c r="P88">
        <v>12</v>
      </c>
      <c r="Q88">
        <f>N88/P88</f>
      </c>
      <c r="R88" s="1">
        <v>106</v>
      </c>
      <c r="S88" s="1">
        <v>106</v>
      </c>
      <c r="T88">
        <f>IF(R88=S88,"相符","不相符")</f>
      </c>
      <c r="U88"/>
      <c r="V88">
        <f>P88*R88</f>
      </c>
      <c r="W88">
        <f>Q88*V88</f>
      </c>
      <c r="X88">
        <v>540</v>
      </c>
      <c r="Y88" t="s">
        <v>428</v>
      </c>
      <c r="Z88" t="s">
        <v>422</v>
      </c>
      <c r="AA88"/>
      <c r="AB88"/>
      <c r="AC88" t="s">
        <v>49</v>
      </c>
      <c r="AD88"/>
    </row>
    <row r="89">
      <c r="A89" t="s">
        <v>30</v>
      </c>
      <c r="B89" t="s">
        <v>189</v>
      </c>
      <c r="C89" t="s">
        <v>423</v>
      </c>
      <c r="D89" t="s">
        <v>33</v>
      </c>
      <c r="E89" t="s">
        <v>34</v>
      </c>
      <c r="F89" s="2">
        <v>46276</v>
      </c>
      <c r="G89">
        <v>3</v>
      </c>
      <c r="H89" t="s">
        <v>432</v>
      </c>
      <c r="I89" t="s">
        <v>433</v>
      </c>
      <c r="J89" t="s">
        <v>433</v>
      </c>
      <c r="K89" t="s">
        <v>426</v>
      </c>
      <c r="L89" t="s">
        <v>434</v>
      </c>
      <c r="M89">
        <v>1200</v>
      </c>
      <c r="N89">
        <v>1200</v>
      </c>
      <c r="O89" t="s">
        <v>435</v>
      </c>
      <c r="P89">
        <v>12</v>
      </c>
      <c r="Q89">
        <f>N89/P89</f>
      </c>
      <c r="R89" s="1">
        <v>201</v>
      </c>
      <c r="S89" s="1">
        <v>201</v>
      </c>
      <c r="T89">
        <f>IF(R89=S89,"相符","不相符")</f>
      </c>
      <c r="U89"/>
      <c r="V89">
        <f>P89*R89</f>
      </c>
      <c r="W89">
        <f>Q89*V89</f>
      </c>
      <c r="X89">
        <v>540</v>
      </c>
      <c r="Y89" t="s">
        <v>102</v>
      </c>
      <c r="Z89" t="s">
        <v>422</v>
      </c>
      <c r="AA89"/>
      <c r="AB89"/>
      <c r="AC89" t="s">
        <v>49</v>
      </c>
      <c r="AD89"/>
    </row>
    <row r="90">
      <c r="A90" t="s">
        <v>30</v>
      </c>
      <c r="B90" t="s">
        <v>189</v>
      </c>
      <c r="C90" t="s">
        <v>423</v>
      </c>
      <c r="D90" t="s">
        <v>33</v>
      </c>
      <c r="E90" t="s">
        <v>34</v>
      </c>
      <c r="F90" s="2">
        <v>46276</v>
      </c>
      <c r="G90">
        <v>4</v>
      </c>
      <c r="H90" t="s">
        <v>436</v>
      </c>
      <c r="I90" t="s">
        <v>437</v>
      </c>
      <c r="J90" t="s">
        <v>437</v>
      </c>
      <c r="K90" t="s">
        <v>426</v>
      </c>
      <c r="L90" t="s">
        <v>438</v>
      </c>
      <c r="M90">
        <v>1200</v>
      </c>
      <c r="N90">
        <v>1200</v>
      </c>
      <c r="O90" t="s">
        <v>435</v>
      </c>
      <c r="P90">
        <v>12</v>
      </c>
      <c r="Q90">
        <f>N90/P90</f>
      </c>
      <c r="R90" s="1">
        <v>196</v>
      </c>
      <c r="S90" s="1">
        <v>196</v>
      </c>
      <c r="T90">
        <f>IF(R90=S90,"相符","不相符")</f>
      </c>
      <c r="U90"/>
      <c r="V90">
        <f>P90*R90</f>
      </c>
      <c r="W90">
        <f>Q90*V90</f>
      </c>
      <c r="X90">
        <v>730</v>
      </c>
      <c r="Y90" t="s">
        <v>102</v>
      </c>
      <c r="Z90" t="s">
        <v>422</v>
      </c>
      <c r="AA90"/>
      <c r="AB90"/>
      <c r="AC90" t="s">
        <v>49</v>
      </c>
      <c r="AD90"/>
    </row>
    <row r="91">
      <c r="A91" t="s">
        <v>30</v>
      </c>
      <c r="B91" t="s">
        <v>189</v>
      </c>
      <c r="C91" t="s">
        <v>423</v>
      </c>
      <c r="D91" t="s">
        <v>33</v>
      </c>
      <c r="E91" t="s">
        <v>34</v>
      </c>
      <c r="F91" s="2">
        <v>46276</v>
      </c>
      <c r="G91">
        <v>5</v>
      </c>
      <c r="H91" t="s">
        <v>439</v>
      </c>
      <c r="I91" t="s">
        <v>440</v>
      </c>
      <c r="J91" t="s">
        <v>440</v>
      </c>
      <c r="K91" t="s">
        <v>426</v>
      </c>
      <c r="L91" t="s">
        <v>441</v>
      </c>
      <c r="M91">
        <v>1200</v>
      </c>
      <c r="N91">
        <v>1200</v>
      </c>
      <c r="O91" t="s">
        <v>240</v>
      </c>
      <c r="P91">
        <v>12</v>
      </c>
      <c r="Q91">
        <f>N91/P91</f>
      </c>
      <c r="R91" s="1">
        <v>224</v>
      </c>
      <c r="S91" s="1">
        <v>224</v>
      </c>
      <c r="T91">
        <f>IF(R91=S91,"相符","不相符")</f>
      </c>
      <c r="U91"/>
      <c r="V91">
        <f>P91*R91</f>
      </c>
      <c r="W91">
        <f>Q91*V91</f>
      </c>
      <c r="X91">
        <v>730</v>
      </c>
      <c r="Y91" t="s">
        <v>102</v>
      </c>
      <c r="Z91" t="s">
        <v>422</v>
      </c>
      <c r="AA91"/>
      <c r="AB91"/>
      <c r="AC91" t="s">
        <v>49</v>
      </c>
      <c r="AD91"/>
    </row>
    <row r="92">
      <c r="A92" t="s">
        <v>30</v>
      </c>
      <c r="B92" t="s">
        <v>189</v>
      </c>
      <c r="C92" t="s">
        <v>423</v>
      </c>
      <c r="D92" t="s">
        <v>33</v>
      </c>
      <c r="E92" t="s">
        <v>34</v>
      </c>
      <c r="F92" s="2">
        <v>46276</v>
      </c>
      <c r="G92">
        <v>6</v>
      </c>
      <c r="H92" t="s">
        <v>442</v>
      </c>
      <c r="I92" t="s">
        <v>443</v>
      </c>
      <c r="J92" t="s">
        <v>443</v>
      </c>
      <c r="K92" t="s">
        <v>426</v>
      </c>
      <c r="L92" t="s">
        <v>444</v>
      </c>
      <c r="M92">
        <v>140</v>
      </c>
      <c r="N92">
        <v>120</v>
      </c>
      <c r="O92" t="s">
        <v>240</v>
      </c>
      <c r="P92">
        <v>24</v>
      </c>
      <c r="Q92">
        <f>N92/P92</f>
      </c>
      <c r="R92" s="1">
        <v>126</v>
      </c>
      <c r="S92" s="1">
        <v>126</v>
      </c>
      <c r="T92">
        <f>IF(R92=S92,"相符","不相符")</f>
      </c>
      <c r="U92"/>
      <c r="V92">
        <f>P92*R92</f>
      </c>
      <c r="W92">
        <f>Q92*V92</f>
      </c>
      <c r="X92">
        <v>730</v>
      </c>
      <c r="Y92" t="s">
        <v>102</v>
      </c>
      <c r="Z92" t="s">
        <v>422</v>
      </c>
      <c r="AA92"/>
      <c r="AB92"/>
      <c r="AC92" t="s">
        <v>49</v>
      </c>
      <c r="AD92"/>
    </row>
    <row r="93">
      <c r="A93" t="s">
        <v>30</v>
      </c>
      <c r="B93" t="s">
        <v>189</v>
      </c>
      <c r="C93" t="s">
        <v>423</v>
      </c>
      <c r="D93" t="s">
        <v>33</v>
      </c>
      <c r="E93" t="s">
        <v>34</v>
      </c>
      <c r="F93" s="2">
        <v>46276</v>
      </c>
      <c r="G93">
        <v>7</v>
      </c>
      <c r="H93" t="s">
        <v>445</v>
      </c>
      <c r="I93" t="s">
        <v>446</v>
      </c>
      <c r="J93" t="s">
        <v>446</v>
      </c>
      <c r="K93" t="s">
        <v>426</v>
      </c>
      <c r="L93" t="s">
        <v>447</v>
      </c>
      <c r="M93">
        <v>660</v>
      </c>
      <c r="N93">
        <v>660</v>
      </c>
      <c r="O93" t="s">
        <v>240</v>
      </c>
      <c r="P93">
        <v>12</v>
      </c>
      <c r="Q93">
        <f>N93/P93</f>
      </c>
      <c r="R93" s="1">
        <v>224</v>
      </c>
      <c r="S93" s="1">
        <v>224</v>
      </c>
      <c r="T93">
        <f>IF(R93=S93,"相符","不相符")</f>
      </c>
      <c r="U93"/>
      <c r="V93">
        <f>P93*R93</f>
      </c>
      <c r="W93">
        <f>Q93*V93</f>
      </c>
      <c r="X93">
        <v>730</v>
      </c>
      <c r="Y93" t="s">
        <v>102</v>
      </c>
      <c r="Z93" t="s">
        <v>422</v>
      </c>
      <c r="AA93"/>
      <c r="AB93"/>
      <c r="AC93" t="s">
        <v>49</v>
      </c>
      <c r="AD93"/>
    </row>
    <row r="94">
      <c r="A94" t="s">
        <v>30</v>
      </c>
      <c r="B94" t="s">
        <v>189</v>
      </c>
      <c r="C94" t="s">
        <v>423</v>
      </c>
      <c r="D94" t="s">
        <v>33</v>
      </c>
      <c r="E94" t="s">
        <v>34</v>
      </c>
      <c r="F94" s="2">
        <v>46276</v>
      </c>
      <c r="G94">
        <v>8</v>
      </c>
      <c r="H94" t="s">
        <v>448</v>
      </c>
      <c r="I94" t="s">
        <v>449</v>
      </c>
      <c r="J94" t="s">
        <v>449</v>
      </c>
      <c r="K94" t="s">
        <v>450</v>
      </c>
      <c r="L94" t="s">
        <v>451</v>
      </c>
      <c r="M94">
        <v>1200</v>
      </c>
      <c r="N94">
        <v>1200</v>
      </c>
      <c r="O94" t="s">
        <v>197</v>
      </c>
      <c r="P94">
        <v>10</v>
      </c>
      <c r="Q94">
        <f>N94/P94</f>
      </c>
      <c r="R94" s="1">
        <v>200</v>
      </c>
      <c r="S94" s="1">
        <v>200</v>
      </c>
      <c r="T94">
        <f>IF(R94=S94,"相符","不相符")</f>
      </c>
      <c r="U94"/>
      <c r="V94">
        <f>P94*R94</f>
      </c>
      <c r="W94">
        <f>Q94*V94</f>
      </c>
      <c r="X94">
        <v>540</v>
      </c>
      <c r="Y94" t="s">
        <v>452</v>
      </c>
      <c r="Z94" t="s">
        <v>422</v>
      </c>
      <c r="AA94"/>
      <c r="AB94"/>
      <c r="AC94" t="s">
        <v>49</v>
      </c>
      <c r="AD94"/>
    </row>
    <row r="95">
      <c r="A95" t="s">
        <v>30</v>
      </c>
      <c r="B95" t="s">
        <v>189</v>
      </c>
      <c r="C95" t="s">
        <v>453</v>
      </c>
      <c r="D95" t="s">
        <v>33</v>
      </c>
      <c r="E95" t="s">
        <v>34</v>
      </c>
      <c r="F95" s="2">
        <v>46276</v>
      </c>
      <c r="G95">
        <v>1</v>
      </c>
      <c r="H95" t="s">
        <v>432</v>
      </c>
      <c r="I95" t="s">
        <v>433</v>
      </c>
      <c r="J95" t="s">
        <v>433</v>
      </c>
      <c r="K95" t="s">
        <v>426</v>
      </c>
      <c r="L95" t="s">
        <v>434</v>
      </c>
      <c r="M95">
        <v>936</v>
      </c>
      <c r="N95">
        <v>936</v>
      </c>
      <c r="O95" t="s">
        <v>435</v>
      </c>
      <c r="P95">
        <v>12</v>
      </c>
      <c r="Q95">
        <f>N95/P95</f>
      </c>
      <c r="R95" s="1">
        <v>201</v>
      </c>
      <c r="S95" s="1">
        <v>201</v>
      </c>
      <c r="T95">
        <f>IF(R95=S95,"相符","不相符")</f>
      </c>
      <c r="U95"/>
      <c r="V95">
        <f>P95*R95</f>
      </c>
      <c r="W95">
        <f>Q95*V95</f>
      </c>
      <c r="X95">
        <v>540</v>
      </c>
      <c r="Y95" t="s">
        <v>102</v>
      </c>
      <c r="Z95" t="s">
        <v>454</v>
      </c>
      <c r="AA95"/>
      <c r="AB95"/>
      <c r="AC95" t="s">
        <v>49</v>
      </c>
      <c r="AD95"/>
    </row>
    <row r="96">
      <c r="A96" t="s">
        <v>30</v>
      </c>
      <c r="B96" t="s">
        <v>189</v>
      </c>
      <c r="C96" t="s">
        <v>453</v>
      </c>
      <c r="D96" t="s">
        <v>33</v>
      </c>
      <c r="E96" t="s">
        <v>34</v>
      </c>
      <c r="F96" s="2">
        <v>46276</v>
      </c>
      <c r="G96">
        <v>2</v>
      </c>
      <c r="H96" t="s">
        <v>455</v>
      </c>
      <c r="I96" t="s">
        <v>456</v>
      </c>
      <c r="J96" t="s">
        <v>456</v>
      </c>
      <c r="K96" t="s">
        <v>457</v>
      </c>
      <c r="L96" t="s">
        <v>458</v>
      </c>
      <c r="M96">
        <v>840</v>
      </c>
      <c r="N96">
        <v>600</v>
      </c>
      <c r="O96" t="s">
        <v>240</v>
      </c>
      <c r="P96">
        <v>6</v>
      </c>
      <c r="Q96">
        <f>N96/P96</f>
      </c>
      <c r="R96" s="1">
        <v>175</v>
      </c>
      <c r="S96" s="1">
        <v>166</v>
      </c>
      <c r="T96">
        <f>IF(R96=S96,"相符","不相符")</f>
      </c>
      <c r="U96"/>
      <c r="V96">
        <f>P96*R96</f>
      </c>
      <c r="W96">
        <f>Q96*V96</f>
      </c>
      <c r="X96">
        <v>730</v>
      </c>
      <c r="Y96" t="s">
        <v>459</v>
      </c>
      <c r="Z96" t="s">
        <v>454</v>
      </c>
      <c r="AA96"/>
      <c r="AB96"/>
      <c r="AC96" t="s">
        <v>49</v>
      </c>
      <c r="AD96"/>
    </row>
    <row r="97">
      <c r="A97" t="s">
        <v>30</v>
      </c>
      <c r="B97" t="s">
        <v>189</v>
      </c>
      <c r="C97" t="s">
        <v>453</v>
      </c>
      <c r="D97" t="s">
        <v>33</v>
      </c>
      <c r="E97" t="s">
        <v>34</v>
      </c>
      <c r="F97" s="2">
        <v>46276</v>
      </c>
      <c r="G97">
        <v>3</v>
      </c>
      <c r="H97" t="s">
        <v>460</v>
      </c>
      <c r="I97" t="s">
        <v>461</v>
      </c>
      <c r="J97" t="s">
        <v>461</v>
      </c>
      <c r="K97" t="s">
        <v>419</v>
      </c>
      <c r="L97" t="s">
        <v>462</v>
      </c>
      <c r="M97">
        <v>720</v>
      </c>
      <c r="N97">
        <v>720</v>
      </c>
      <c r="O97" t="s">
        <v>177</v>
      </c>
      <c r="P97">
        <v>4</v>
      </c>
      <c r="Q97">
        <f>N97/P97</f>
      </c>
      <c r="R97" s="1">
        <v>323</v>
      </c>
      <c r="S97" s="1">
        <v>323</v>
      </c>
      <c r="T97">
        <f>IF(R97=S97,"相符","不相符")</f>
      </c>
      <c r="U97"/>
      <c r="V97">
        <f>P97*R97</f>
      </c>
      <c r="W97">
        <f>Q97*V97</f>
      </c>
      <c r="X97">
        <v>1095</v>
      </c>
      <c r="Y97" t="s">
        <v>421</v>
      </c>
      <c r="Z97" t="s">
        <v>454</v>
      </c>
      <c r="AA97"/>
      <c r="AB97"/>
      <c r="AC97" t="s">
        <v>49</v>
      </c>
      <c r="AD97"/>
    </row>
    <row r="98">
      <c r="A98" t="s">
        <v>30</v>
      </c>
      <c r="B98" t="s">
        <v>31</v>
      </c>
      <c r="C98" t="s">
        <v>463</v>
      </c>
      <c r="D98" t="s">
        <v>464</v>
      </c>
      <c r="E98" t="s">
        <v>465</v>
      </c>
      <c r="F98" s="2">
        <v>46276</v>
      </c>
      <c r="G98">
        <v>1</v>
      </c>
      <c r="H98" t="s">
        <v>466</v>
      </c>
      <c r="I98" t="s">
        <v>467</v>
      </c>
      <c r="J98" t="s">
        <v>468</v>
      </c>
      <c r="K98" t="s">
        <v>75</v>
      </c>
      <c r="L98" t="s">
        <v>469</v>
      </c>
      <c r="M98">
        <v>3</v>
      </c>
      <c r="N98">
        <v>3</v>
      </c>
      <c r="O98" t="s">
        <v>84</v>
      </c>
      <c r="P98">
        <v>1</v>
      </c>
      <c r="Q98">
        <f>N98/P98</f>
      </c>
      <c r="R98" s="1">
        <v>3066</v>
      </c>
      <c r="S98" s="1">
        <v>3066</v>
      </c>
      <c r="T98">
        <f>IF(R98=S98,"相符","不相符")</f>
      </c>
      <c r="U98" t="s">
        <v>470</v>
      </c>
      <c r="V98">
        <f>P98*R98</f>
      </c>
      <c r="W98">
        <f>Q98*V98</f>
      </c>
      <c r="X98">
        <v>365</v>
      </c>
      <c r="Y98" t="s">
        <v>471</v>
      </c>
      <c r="Z98" t="s">
        <v>42</v>
      </c>
      <c r="AA98"/>
      <c r="AB98"/>
      <c r="AC98" t="s">
        <v>43</v>
      </c>
      <c r="AD98"/>
    </row>
    <row r="99">
      <c r="A99" t="s">
        <v>30</v>
      </c>
      <c r="B99" t="s">
        <v>31</v>
      </c>
      <c r="C99" t="s">
        <v>463</v>
      </c>
      <c r="D99" t="s">
        <v>464</v>
      </c>
      <c r="E99" t="s">
        <v>465</v>
      </c>
      <c r="F99" s="2">
        <v>46276</v>
      </c>
      <c r="G99">
        <v>2</v>
      </c>
      <c r="H99" t="s">
        <v>472</v>
      </c>
      <c r="I99" t="s">
        <v>473</v>
      </c>
      <c r="J99" t="s">
        <v>474</v>
      </c>
      <c r="K99" t="s">
        <v>121</v>
      </c>
      <c r="L99" t="s">
        <v>475</v>
      </c>
      <c r="M99">
        <v>3</v>
      </c>
      <c r="N99">
        <v>3</v>
      </c>
      <c r="O99" t="s">
        <v>84</v>
      </c>
      <c r="P99">
        <v>1</v>
      </c>
      <c r="Q99">
        <f>N99/P99</f>
      </c>
      <c r="R99" s="1">
        <v>3066</v>
      </c>
      <c r="S99" s="1">
        <v>3066</v>
      </c>
      <c r="T99">
        <f>IF(R99=S99,"相符","不相符")</f>
      </c>
      <c r="U99" t="s">
        <v>476</v>
      </c>
      <c r="V99">
        <f>P99*R99</f>
      </c>
      <c r="W99">
        <f>Q99*V99</f>
      </c>
      <c r="X99">
        <v>365</v>
      </c>
      <c r="Y99" t="s">
        <v>471</v>
      </c>
      <c r="Z99" t="s">
        <v>42</v>
      </c>
      <c r="AA99"/>
      <c r="AB99"/>
      <c r="AC99" t="s">
        <v>43</v>
      </c>
      <c r="AD99"/>
    </row>
    <row r="100">
      <c r="A100" t="s">
        <v>30</v>
      </c>
      <c r="B100" t="s">
        <v>233</v>
      </c>
      <c r="C100" t="s">
        <v>477</v>
      </c>
      <c r="D100" t="s">
        <v>478</v>
      </c>
      <c r="E100" t="s">
        <v>479</v>
      </c>
      <c r="F100" s="2">
        <v>46276</v>
      </c>
      <c r="G100">
        <v>1</v>
      </c>
      <c r="H100" t="s">
        <v>480</v>
      </c>
      <c r="I100" t="s">
        <v>481</v>
      </c>
      <c r="J100" t="s">
        <v>482</v>
      </c>
      <c r="K100" t="s">
        <v>238</v>
      </c>
      <c r="L100" t="s">
        <v>483</v>
      </c>
      <c r="M100">
        <v>264</v>
      </c>
      <c r="N100">
        <v>264</v>
      </c>
      <c r="O100" t="s">
        <v>240</v>
      </c>
      <c r="P100">
        <v>6</v>
      </c>
      <c r="Q100">
        <f>N100/P100</f>
      </c>
      <c r="R100" s="1">
        <v>167</v>
      </c>
      <c r="S100" s="1">
        <v>167</v>
      </c>
      <c r="T100">
        <f>IF(R100=S100,"相符","不相符")</f>
      </c>
      <c r="U100"/>
      <c r="V100">
        <f>P100*R100</f>
      </c>
      <c r="W100">
        <f>Q100*V100</f>
      </c>
      <c r="X100">
        <v>1095</v>
      </c>
      <c r="Y100" t="s">
        <v>484</v>
      </c>
      <c r="Z100" t="s">
        <v>485</v>
      </c>
      <c r="AA100"/>
      <c r="AB100"/>
      <c r="AC100" t="s">
        <v>243</v>
      </c>
      <c r="AD100"/>
    </row>
    <row r="101">
      <c r="A101" t="s">
        <v>30</v>
      </c>
      <c r="B101" t="s">
        <v>233</v>
      </c>
      <c r="C101" t="s">
        <v>486</v>
      </c>
      <c r="D101" t="s">
        <v>478</v>
      </c>
      <c r="E101" t="s">
        <v>479</v>
      </c>
      <c r="F101" s="2">
        <v>46276</v>
      </c>
      <c r="G101">
        <v>1</v>
      </c>
      <c r="H101" t="s">
        <v>480</v>
      </c>
      <c r="I101" t="s">
        <v>481</v>
      </c>
      <c r="J101" t="s">
        <v>482</v>
      </c>
      <c r="K101" t="s">
        <v>238</v>
      </c>
      <c r="L101" t="s">
        <v>483</v>
      </c>
      <c r="M101">
        <v>1296</v>
      </c>
      <c r="N101">
        <v>1296</v>
      </c>
      <c r="O101" t="s">
        <v>240</v>
      </c>
      <c r="P101">
        <v>6</v>
      </c>
      <c r="Q101">
        <f>N101/P101</f>
      </c>
      <c r="R101" s="1">
        <v>167</v>
      </c>
      <c r="S101" s="1">
        <v>167</v>
      </c>
      <c r="T101">
        <f>IF(R101=S101,"相符","不相符")</f>
      </c>
      <c r="U101"/>
      <c r="V101">
        <f>P101*R101</f>
      </c>
      <c r="W101">
        <f>Q101*V101</f>
      </c>
      <c r="X101">
        <v>1095</v>
      </c>
      <c r="Y101" t="s">
        <v>484</v>
      </c>
      <c r="Z101" t="s">
        <v>485</v>
      </c>
      <c r="AA101"/>
      <c r="AB101"/>
      <c r="AC101" t="s">
        <v>243</v>
      </c>
      <c r="AD101"/>
    </row>
    <row r="102">
      <c r="A102" t="s">
        <v>30</v>
      </c>
      <c r="B102" t="s">
        <v>254</v>
      </c>
      <c r="C102" t="s">
        <v>487</v>
      </c>
      <c r="D102" t="s">
        <v>191</v>
      </c>
      <c r="E102" t="s">
        <v>192</v>
      </c>
      <c r="F102" s="2">
        <v>46276</v>
      </c>
      <c r="G102">
        <v>1</v>
      </c>
      <c r="H102" t="s">
        <v>488</v>
      </c>
      <c r="I102" t="s">
        <v>489</v>
      </c>
      <c r="J102" t="s">
        <v>490</v>
      </c>
      <c r="K102" t="s">
        <v>491</v>
      </c>
      <c r="L102" t="s">
        <v>492</v>
      </c>
      <c r="M102">
        <v>640</v>
      </c>
      <c r="N102">
        <v>640</v>
      </c>
      <c r="O102" t="s">
        <v>197</v>
      </c>
      <c r="P102">
        <v>20</v>
      </c>
      <c r="Q102">
        <f>N102/P102</f>
      </c>
      <c r="R102" s="1">
        <v>55</v>
      </c>
      <c r="S102" s="1">
        <v>55</v>
      </c>
      <c r="T102">
        <f>IF(R102=S102,"相符","不相符")</f>
      </c>
      <c r="U102"/>
      <c r="V102">
        <f>P102*R102</f>
      </c>
      <c r="W102">
        <f>Q102*V102</f>
      </c>
      <c r="X102">
        <v>1825</v>
      </c>
      <c r="Y102" t="s">
        <v>493</v>
      </c>
      <c r="Z102" t="s">
        <v>494</v>
      </c>
      <c r="AA102"/>
      <c r="AB102"/>
      <c r="AC102" t="s">
        <v>243</v>
      </c>
      <c r="AD102"/>
    </row>
    <row r="103">
      <c r="A103" t="s">
        <v>30</v>
      </c>
      <c r="B103" t="s">
        <v>233</v>
      </c>
      <c r="C103" t="s">
        <v>495</v>
      </c>
      <c r="D103" t="s">
        <v>191</v>
      </c>
      <c r="E103" t="s">
        <v>192</v>
      </c>
      <c r="F103" s="2">
        <v>46276</v>
      </c>
      <c r="G103">
        <v>1</v>
      </c>
      <c r="H103" t="s">
        <v>496</v>
      </c>
      <c r="I103" t="s">
        <v>497</v>
      </c>
      <c r="J103" t="s">
        <v>498</v>
      </c>
      <c r="K103" t="s">
        <v>238</v>
      </c>
      <c r="L103" t="s">
        <v>499</v>
      </c>
      <c r="M103">
        <v>36</v>
      </c>
      <c r="N103">
        <v>36</v>
      </c>
      <c r="O103" t="s">
        <v>240</v>
      </c>
      <c r="P103">
        <v>12</v>
      </c>
      <c r="Q103">
        <f>N103/P103</f>
      </c>
      <c r="R103" s="1">
        <v>88</v>
      </c>
      <c r="S103" s="1">
        <v>88</v>
      </c>
      <c r="T103">
        <f>IF(R103=S103,"相符","不相符")</f>
      </c>
      <c r="U103"/>
      <c r="V103">
        <f>P103*R103</f>
      </c>
      <c r="W103">
        <f>Q103*V103</f>
      </c>
      <c r="X103">
        <v>1095</v>
      </c>
      <c r="Y103" t="s">
        <v>421</v>
      </c>
      <c r="Z103" t="s">
        <v>500</v>
      </c>
      <c r="AA103"/>
      <c r="AB103"/>
      <c r="AC103" t="s">
        <v>243</v>
      </c>
      <c r="AD103"/>
    </row>
    <row r="104">
      <c r="A104" t="s">
        <v>30</v>
      </c>
      <c r="B104" t="s">
        <v>233</v>
      </c>
      <c r="C104" t="s">
        <v>495</v>
      </c>
      <c r="D104" t="s">
        <v>191</v>
      </c>
      <c r="E104" t="s">
        <v>192</v>
      </c>
      <c r="F104" s="2">
        <v>46276</v>
      </c>
      <c r="G104">
        <v>2</v>
      </c>
      <c r="H104" t="s">
        <v>501</v>
      </c>
      <c r="I104" t="s">
        <v>502</v>
      </c>
      <c r="J104" t="s">
        <v>503</v>
      </c>
      <c r="K104" t="s">
        <v>238</v>
      </c>
      <c r="L104" t="s">
        <v>504</v>
      </c>
      <c r="M104">
        <v>1932</v>
      </c>
      <c r="N104">
        <v>1932</v>
      </c>
      <c r="O104" t="s">
        <v>177</v>
      </c>
      <c r="P104">
        <v>12</v>
      </c>
      <c r="Q104">
        <f>N104/P104</f>
      </c>
      <c r="R104" s="1">
        <v>75</v>
      </c>
      <c r="S104" s="1">
        <v>75</v>
      </c>
      <c r="T104">
        <f>IF(R104=S104,"相符","不相符")</f>
      </c>
      <c r="U104"/>
      <c r="V104">
        <f>P104*R104</f>
      </c>
      <c r="W104">
        <f>Q104*V104</f>
      </c>
      <c r="X104">
        <v>1095</v>
      </c>
      <c r="Y104" t="s">
        <v>421</v>
      </c>
      <c r="Z104" t="s">
        <v>500</v>
      </c>
      <c r="AA104"/>
      <c r="AB104"/>
      <c r="AC104" t="s">
        <v>243</v>
      </c>
      <c r="AD104"/>
    </row>
    <row r="105">
      <c r="A105" t="s">
        <v>30</v>
      </c>
      <c r="B105" t="s">
        <v>233</v>
      </c>
      <c r="C105" t="s">
        <v>495</v>
      </c>
      <c r="D105" t="s">
        <v>191</v>
      </c>
      <c r="E105" t="s">
        <v>192</v>
      </c>
      <c r="F105" s="2">
        <v>46276</v>
      </c>
      <c r="G105">
        <v>3</v>
      </c>
      <c r="H105" t="s">
        <v>244</v>
      </c>
      <c r="I105" t="s">
        <v>245</v>
      </c>
      <c r="J105" t="s">
        <v>246</v>
      </c>
      <c r="K105" t="s">
        <v>238</v>
      </c>
      <c r="L105" t="s">
        <v>247</v>
      </c>
      <c r="M105">
        <v>432</v>
      </c>
      <c r="N105">
        <v>432</v>
      </c>
      <c r="O105" t="s">
        <v>40</v>
      </c>
      <c r="P105">
        <v>6</v>
      </c>
      <c r="Q105">
        <f>N105/P105</f>
      </c>
      <c r="R105" s="1">
        <v>115</v>
      </c>
      <c r="S105" s="1">
        <v>115</v>
      </c>
      <c r="T105">
        <f>IF(R105=S105,"相符","不相符")</f>
      </c>
      <c r="U105"/>
      <c r="V105">
        <f>P105*R105</f>
      </c>
      <c r="W105">
        <f>Q105*V105</f>
      </c>
      <c r="X105">
        <v>540</v>
      </c>
      <c r="Y105" t="s">
        <v>428</v>
      </c>
      <c r="Z105" t="s">
        <v>500</v>
      </c>
      <c r="AA105"/>
      <c r="AB105"/>
      <c r="AC105" t="s">
        <v>243</v>
      </c>
      <c r="AD105"/>
    </row>
    <row r="106">
      <c r="A106" t="s">
        <v>30</v>
      </c>
      <c r="B106" t="s">
        <v>233</v>
      </c>
      <c r="C106" t="s">
        <v>495</v>
      </c>
      <c r="D106" t="s">
        <v>191</v>
      </c>
      <c r="E106" t="s">
        <v>192</v>
      </c>
      <c r="F106" s="2">
        <v>46276</v>
      </c>
      <c r="G106">
        <v>4</v>
      </c>
      <c r="H106" t="s">
        <v>249</v>
      </c>
      <c r="I106" t="s">
        <v>250</v>
      </c>
      <c r="J106" t="s">
        <v>251</v>
      </c>
      <c r="K106" t="s">
        <v>238</v>
      </c>
      <c r="L106" t="s">
        <v>252</v>
      </c>
      <c r="M106">
        <v>396</v>
      </c>
      <c r="N106">
        <v>396</v>
      </c>
      <c r="O106" t="s">
        <v>177</v>
      </c>
      <c r="P106">
        <v>6</v>
      </c>
      <c r="Q106">
        <f>N106/P106</f>
      </c>
      <c r="R106" s="1">
        <v>137</v>
      </c>
      <c r="S106" s="1">
        <v>137</v>
      </c>
      <c r="T106">
        <f>IF(R106=S106,"相符","不相符")</f>
      </c>
      <c r="U106"/>
      <c r="V106">
        <f>P106*R106</f>
      </c>
      <c r="W106">
        <f>Q106*V106</f>
      </c>
      <c r="X106">
        <v>1095</v>
      </c>
      <c r="Y106" t="s">
        <v>484</v>
      </c>
      <c r="Z106" t="s">
        <v>500</v>
      </c>
      <c r="AA106"/>
      <c r="AB106"/>
      <c r="AC106" t="s">
        <v>243</v>
      </c>
      <c r="AD106"/>
    </row>
    <row r="107">
      <c r="A107" t="s">
        <v>30</v>
      </c>
      <c r="B107"/>
      <c r="C107" t="s">
        <v>455</v>
      </c>
      <c r="D107" t="s">
        <v>505</v>
      </c>
      <c r="E107" t="s">
        <v>506</v>
      </c>
      <c r="F107" s="2">
        <v>46282</v>
      </c>
      <c r="G107">
        <v>1</v>
      </c>
      <c r="H107"/>
      <c r="I107"/>
      <c r="J107"/>
      <c r="K107"/>
      <c r="L107"/>
      <c r="M107">
        <v>0</v>
      </c>
      <c r="N107">
        <v>0</v>
      </c>
      <c r="O107"/>
      <c r="P107">
        <v>0</v>
      </c>
      <c r="Q107">
        <f>N107/P107</f>
      </c>
      <c r="R107" s="1">
        <v>0</v>
      </c>
      <c r="S107" s="1">
        <v>0</v>
      </c>
      <c r="T107">
        <f>IF(R107=S107,"相符","不相符")</f>
      </c>
      <c r="U107"/>
      <c r="V107">
        <f>P107*R107</f>
      </c>
      <c r="W107">
        <f>Q107*V107</f>
      </c>
      <c r="X107">
        <v>0</v>
      </c>
      <c r="Y107"/>
      <c r="Z107"/>
      <c r="AA107"/>
      <c r="AB107"/>
      <c r="AC107"/>
      <c r="AD107"/>
    </row>
    <row r="108">
      <c r="A108" t="s">
        <v>30</v>
      </c>
      <c r="B108"/>
      <c r="C108" t="s">
        <v>455</v>
      </c>
      <c r="D108" t="s">
        <v>505</v>
      </c>
      <c r="E108" t="s">
        <v>506</v>
      </c>
      <c r="F108" s="2">
        <v>46282</v>
      </c>
      <c r="G108">
        <v>2</v>
      </c>
      <c r="H108"/>
      <c r="I108"/>
      <c r="J108"/>
      <c r="K108"/>
      <c r="L108"/>
      <c r="M108">
        <v>0</v>
      </c>
      <c r="N108">
        <v>0</v>
      </c>
      <c r="O108"/>
      <c r="P108">
        <v>0</v>
      </c>
      <c r="Q108">
        <f>N108/P108</f>
      </c>
      <c r="R108" s="1">
        <v>0</v>
      </c>
      <c r="S108" s="1">
        <v>0</v>
      </c>
      <c r="T108">
        <f>IF(R108=S108,"相符","不相符")</f>
      </c>
      <c r="U108"/>
      <c r="V108">
        <f>P108*R108</f>
      </c>
      <c r="W108">
        <f>Q108*V108</f>
      </c>
      <c r="X108">
        <v>0</v>
      </c>
      <c r="Y108"/>
      <c r="Z108"/>
      <c r="AA108"/>
      <c r="AB108"/>
      <c r="AC108"/>
      <c r="AD108"/>
    </row>
    <row r="109">
      <c r="A109" t="s">
        <v>30</v>
      </c>
      <c r="B109"/>
      <c r="C109" t="s">
        <v>455</v>
      </c>
      <c r="D109" t="s">
        <v>505</v>
      </c>
      <c r="E109" t="s">
        <v>506</v>
      </c>
      <c r="F109" s="2">
        <v>46282</v>
      </c>
      <c r="G109">
        <v>3</v>
      </c>
      <c r="H109"/>
      <c r="I109"/>
      <c r="J109"/>
      <c r="K109"/>
      <c r="L109"/>
      <c r="M109">
        <v>0</v>
      </c>
      <c r="N109">
        <v>0</v>
      </c>
      <c r="O109"/>
      <c r="P109">
        <v>0</v>
      </c>
      <c r="Q109">
        <f>N109/P109</f>
      </c>
      <c r="R109" s="1">
        <v>0</v>
      </c>
      <c r="S109" s="1">
        <v>0</v>
      </c>
      <c r="T109">
        <f>IF(R109=S109,"相符","不相符")</f>
      </c>
      <c r="U109"/>
      <c r="V109">
        <f>P109*R109</f>
      </c>
      <c r="W109">
        <f>Q109*V109</f>
      </c>
      <c r="X109">
        <v>0</v>
      </c>
      <c r="Y109"/>
      <c r="Z109"/>
      <c r="AA109"/>
      <c r="AB109"/>
      <c r="AC109"/>
      <c r="AD109"/>
    </row>
    <row r="110">
      <c r="A110" t="s">
        <v>30</v>
      </c>
      <c r="B110"/>
      <c r="C110" t="s">
        <v>455</v>
      </c>
      <c r="D110" t="s">
        <v>505</v>
      </c>
      <c r="E110" t="s">
        <v>506</v>
      </c>
      <c r="F110" s="2">
        <v>46282</v>
      </c>
      <c r="G110">
        <v>4</v>
      </c>
      <c r="H110"/>
      <c r="I110"/>
      <c r="J110"/>
      <c r="K110"/>
      <c r="L110"/>
      <c r="M110">
        <v>0</v>
      </c>
      <c r="N110">
        <v>0</v>
      </c>
      <c r="O110"/>
      <c r="P110">
        <v>0</v>
      </c>
      <c r="Q110">
        <f>N110/P110</f>
      </c>
      <c r="R110" s="1">
        <v>0</v>
      </c>
      <c r="S110" s="1">
        <v>0</v>
      </c>
      <c r="T110">
        <f>IF(R110=S110,"相符","不相符")</f>
      </c>
      <c r="U110"/>
      <c r="V110">
        <f>P110*R110</f>
      </c>
      <c r="W110">
        <f>Q110*V110</f>
      </c>
      <c r="X110">
        <v>0</v>
      </c>
      <c r="Y110"/>
      <c r="Z110"/>
      <c r="AA110"/>
      <c r="AB110"/>
      <c r="AC110"/>
      <c r="AD110"/>
    </row>
    <row r="111">
      <c r="A111" t="s">
        <v>30</v>
      </c>
      <c r="B111"/>
      <c r="C111" t="s">
        <v>455</v>
      </c>
      <c r="D111" t="s">
        <v>505</v>
      </c>
      <c r="E111" t="s">
        <v>506</v>
      </c>
      <c r="F111" s="2">
        <v>46282</v>
      </c>
      <c r="G111">
        <v>5</v>
      </c>
      <c r="H111"/>
      <c r="I111"/>
      <c r="J111"/>
      <c r="K111"/>
      <c r="L111"/>
      <c r="M111">
        <v>0</v>
      </c>
      <c r="N111">
        <v>0</v>
      </c>
      <c r="O111"/>
      <c r="P111">
        <v>0</v>
      </c>
      <c r="Q111">
        <f>N111/P111</f>
      </c>
      <c r="R111" s="1">
        <v>0</v>
      </c>
      <c r="S111" s="1">
        <v>0</v>
      </c>
      <c r="T111">
        <f>IF(R111=S111,"相符","不相符")</f>
      </c>
      <c r="U111"/>
      <c r="V111">
        <f>P111*R111</f>
      </c>
      <c r="W111">
        <f>Q111*V111</f>
      </c>
      <c r="X111">
        <v>0</v>
      </c>
      <c r="Y111"/>
      <c r="Z111"/>
      <c r="AA111"/>
      <c r="AB111"/>
      <c r="AC111"/>
      <c r="AD111"/>
    </row>
    <row r="112">
      <c r="A112" t="s">
        <v>30</v>
      </c>
      <c r="B112"/>
      <c r="C112" t="s">
        <v>455</v>
      </c>
      <c r="D112" t="s">
        <v>505</v>
      </c>
      <c r="E112" t="s">
        <v>506</v>
      </c>
      <c r="F112" s="2">
        <v>46282</v>
      </c>
      <c r="G112">
        <v>6</v>
      </c>
      <c r="H112"/>
      <c r="I112"/>
      <c r="J112"/>
      <c r="K112"/>
      <c r="L112"/>
      <c r="M112">
        <v>0</v>
      </c>
      <c r="N112">
        <v>0</v>
      </c>
      <c r="O112"/>
      <c r="P112">
        <v>0</v>
      </c>
      <c r="Q112">
        <f>N112/P112</f>
      </c>
      <c r="R112" s="1">
        <v>0</v>
      </c>
      <c r="S112" s="1">
        <v>0</v>
      </c>
      <c r="T112">
        <f>IF(R112=S112,"相符","不相符")</f>
      </c>
      <c r="U112"/>
      <c r="V112">
        <f>P112*R112</f>
      </c>
      <c r="W112">
        <f>Q112*V112</f>
      </c>
      <c r="X112">
        <v>0</v>
      </c>
      <c r="Y112"/>
      <c r="Z112"/>
      <c r="AA112"/>
      <c r="AB112"/>
      <c r="AC112"/>
      <c r="AD112"/>
    </row>
    <row r="113">
      <c r="A113" t="s">
        <v>30</v>
      </c>
      <c r="B113"/>
      <c r="C113" t="s">
        <v>455</v>
      </c>
      <c r="D113" t="s">
        <v>505</v>
      </c>
      <c r="E113" t="s">
        <v>506</v>
      </c>
      <c r="F113" s="2">
        <v>46282</v>
      </c>
      <c r="G113">
        <v>7</v>
      </c>
      <c r="H113"/>
      <c r="I113"/>
      <c r="J113"/>
      <c r="K113"/>
      <c r="L113"/>
      <c r="M113">
        <v>0</v>
      </c>
      <c r="N113">
        <v>0</v>
      </c>
      <c r="O113"/>
      <c r="P113">
        <v>0</v>
      </c>
      <c r="Q113">
        <f>N113/P113</f>
      </c>
      <c r="R113" s="1">
        <v>0</v>
      </c>
      <c r="S113" s="1">
        <v>0</v>
      </c>
      <c r="T113">
        <f>IF(R113=S113,"相符","不相符")</f>
      </c>
      <c r="U113"/>
      <c r="V113">
        <f>P113*R113</f>
      </c>
      <c r="W113">
        <f>Q113*V113</f>
      </c>
      <c r="X113">
        <v>0</v>
      </c>
      <c r="Y113"/>
      <c r="Z113"/>
      <c r="AA113"/>
      <c r="AB113"/>
      <c r="AC113"/>
      <c r="AD113"/>
    </row>
    <row r="114">
      <c r="A114" t="s">
        <v>30</v>
      </c>
      <c r="B114"/>
      <c r="C114" t="s">
        <v>455</v>
      </c>
      <c r="D114" t="s">
        <v>505</v>
      </c>
      <c r="E114" t="s">
        <v>506</v>
      </c>
      <c r="F114" s="2">
        <v>46282</v>
      </c>
      <c r="G114">
        <v>8</v>
      </c>
      <c r="H114"/>
      <c r="I114"/>
      <c r="J114"/>
      <c r="K114"/>
      <c r="L114"/>
      <c r="M114">
        <v>0</v>
      </c>
      <c r="N114">
        <v>0</v>
      </c>
      <c r="O114"/>
      <c r="P114">
        <v>0</v>
      </c>
      <c r="Q114">
        <f>N114/P114</f>
      </c>
      <c r="R114" s="1">
        <v>0</v>
      </c>
      <c r="S114" s="1">
        <v>0</v>
      </c>
      <c r="T114">
        <f>IF(R114=S114,"相符","不相符")</f>
      </c>
      <c r="U114"/>
      <c r="V114">
        <f>P114*R114</f>
      </c>
      <c r="W114">
        <f>Q114*V114</f>
      </c>
      <c r="X114">
        <v>0</v>
      </c>
      <c r="Y114"/>
      <c r="Z114"/>
      <c r="AA114"/>
      <c r="AB114"/>
      <c r="AC114"/>
      <c r="AD114"/>
    </row>
    <row r="115">
      <c r="A115" t="s">
        <v>30</v>
      </c>
      <c r="B115"/>
      <c r="C115" t="s">
        <v>455</v>
      </c>
      <c r="D115" t="s">
        <v>505</v>
      </c>
      <c r="E115" t="s">
        <v>506</v>
      </c>
      <c r="F115" s="2">
        <v>46282</v>
      </c>
      <c r="G115">
        <v>9</v>
      </c>
      <c r="H115"/>
      <c r="I115"/>
      <c r="J115"/>
      <c r="K115"/>
      <c r="L115"/>
      <c r="M115">
        <v>0</v>
      </c>
      <c r="N115">
        <v>0</v>
      </c>
      <c r="O115"/>
      <c r="P115">
        <v>0</v>
      </c>
      <c r="Q115">
        <f>N115/P115</f>
      </c>
      <c r="R115" s="1">
        <v>0</v>
      </c>
      <c r="S115" s="1">
        <v>0</v>
      </c>
      <c r="T115">
        <f>IF(R115=S115,"相符","不相符")</f>
      </c>
      <c r="U115"/>
      <c r="V115">
        <f>P115*R115</f>
      </c>
      <c r="W115">
        <f>Q115*V115</f>
      </c>
      <c r="X115">
        <v>0</v>
      </c>
      <c r="Y115"/>
      <c r="Z115"/>
      <c r="AA115"/>
      <c r="AB115"/>
      <c r="AC115"/>
      <c r="AD115"/>
    </row>
    <row r="116">
      <c r="A116" t="s">
        <v>30</v>
      </c>
      <c r="B116"/>
      <c r="C116" t="s">
        <v>455</v>
      </c>
      <c r="D116" t="s">
        <v>505</v>
      </c>
      <c r="E116" t="s">
        <v>506</v>
      </c>
      <c r="F116" s="2">
        <v>46282</v>
      </c>
      <c r="G116">
        <v>10</v>
      </c>
      <c r="H116"/>
      <c r="I116"/>
      <c r="J116"/>
      <c r="K116"/>
      <c r="L116"/>
      <c r="M116">
        <v>0</v>
      </c>
      <c r="N116">
        <v>0</v>
      </c>
      <c r="O116"/>
      <c r="P116">
        <v>0</v>
      </c>
      <c r="Q116">
        <f>N116/P116</f>
      </c>
      <c r="R116" s="1">
        <v>0</v>
      </c>
      <c r="S116" s="1">
        <v>0</v>
      </c>
      <c r="T116">
        <f>IF(R116=S116,"相符","不相符")</f>
      </c>
      <c r="U116"/>
      <c r="V116">
        <f>P116*R116</f>
      </c>
      <c r="W116">
        <f>Q116*V116</f>
      </c>
      <c r="X116">
        <v>0</v>
      </c>
      <c r="Y116"/>
      <c r="Z116"/>
      <c r="AA116"/>
      <c r="AB116"/>
      <c r="AC116"/>
      <c r="AD116"/>
    </row>
    <row r="117">
      <c r="A117" t="s">
        <v>30</v>
      </c>
      <c r="B117"/>
      <c r="C117" t="s">
        <v>455</v>
      </c>
      <c r="D117" t="s">
        <v>505</v>
      </c>
      <c r="E117" t="s">
        <v>506</v>
      </c>
      <c r="F117" s="2">
        <v>46282</v>
      </c>
      <c r="G117">
        <v>11</v>
      </c>
      <c r="H117"/>
      <c r="I117"/>
      <c r="J117"/>
      <c r="K117"/>
      <c r="L117"/>
      <c r="M117">
        <v>0</v>
      </c>
      <c r="N117">
        <v>0</v>
      </c>
      <c r="O117"/>
      <c r="P117">
        <v>0</v>
      </c>
      <c r="Q117">
        <f>N117/P117</f>
      </c>
      <c r="R117" s="1">
        <v>0</v>
      </c>
      <c r="S117" s="1">
        <v>0</v>
      </c>
      <c r="T117">
        <f>IF(R117=S117,"相符","不相符")</f>
      </c>
      <c r="U117"/>
      <c r="V117">
        <f>P117*R117</f>
      </c>
      <c r="W117">
        <f>Q117*V117</f>
      </c>
      <c r="X117">
        <v>0</v>
      </c>
      <c r="Y117"/>
      <c r="Z117"/>
      <c r="AA117"/>
      <c r="AB117"/>
      <c r="AC117"/>
      <c r="AD117"/>
    </row>
    <row r="118">
      <c r="A118" t="s">
        <v>30</v>
      </c>
      <c r="B118"/>
      <c r="C118" t="s">
        <v>455</v>
      </c>
      <c r="D118" t="s">
        <v>505</v>
      </c>
      <c r="E118" t="s">
        <v>506</v>
      </c>
      <c r="F118" s="2">
        <v>46282</v>
      </c>
      <c r="G118">
        <v>12</v>
      </c>
      <c r="H118"/>
      <c r="I118"/>
      <c r="J118"/>
      <c r="K118"/>
      <c r="L118"/>
      <c r="M118">
        <v>0</v>
      </c>
      <c r="N118">
        <v>0</v>
      </c>
      <c r="O118"/>
      <c r="P118">
        <v>0</v>
      </c>
      <c r="Q118">
        <f>N118/P118</f>
      </c>
      <c r="R118" s="1">
        <v>0</v>
      </c>
      <c r="S118" s="1">
        <v>0</v>
      </c>
      <c r="T118">
        <f>IF(R118=S118,"相符","不相符")</f>
      </c>
      <c r="U118"/>
      <c r="V118">
        <f>P118*R118</f>
      </c>
      <c r="W118">
        <f>Q118*V118</f>
      </c>
      <c r="X118">
        <v>0</v>
      </c>
      <c r="Y118"/>
      <c r="Z118"/>
      <c r="AA118"/>
      <c r="AB118"/>
      <c r="AC118"/>
      <c r="AD118"/>
    </row>
    <row r="119">
      <c r="A119" t="s">
        <v>30</v>
      </c>
      <c r="B119"/>
      <c r="C119" t="s">
        <v>455</v>
      </c>
      <c r="D119" t="s">
        <v>505</v>
      </c>
      <c r="E119" t="s">
        <v>506</v>
      </c>
      <c r="F119" s="2">
        <v>46282</v>
      </c>
      <c r="G119">
        <v>13</v>
      </c>
      <c r="H119"/>
      <c r="I119"/>
      <c r="J119"/>
      <c r="K119"/>
      <c r="L119"/>
      <c r="M119">
        <v>0</v>
      </c>
      <c r="N119">
        <v>0</v>
      </c>
      <c r="O119"/>
      <c r="P119">
        <v>0</v>
      </c>
      <c r="Q119">
        <f>N119/P119</f>
      </c>
      <c r="R119" s="1">
        <v>0</v>
      </c>
      <c r="S119" s="1">
        <v>0</v>
      </c>
      <c r="T119">
        <f>IF(R119=S119,"相符","不相符")</f>
      </c>
      <c r="U119"/>
      <c r="V119">
        <f>P119*R119</f>
      </c>
      <c r="W119">
        <f>Q119*V119</f>
      </c>
      <c r="X119">
        <v>0</v>
      </c>
      <c r="Y119"/>
      <c r="Z119"/>
      <c r="AA119"/>
      <c r="AB119"/>
      <c r="AC119"/>
      <c r="AD119"/>
    </row>
    <row r="120">
      <c r="A120" t="s">
        <v>30</v>
      </c>
      <c r="B120"/>
      <c r="C120" t="s">
        <v>455</v>
      </c>
      <c r="D120" t="s">
        <v>505</v>
      </c>
      <c r="E120" t="s">
        <v>506</v>
      </c>
      <c r="F120" s="2">
        <v>46282</v>
      </c>
      <c r="G120">
        <v>14</v>
      </c>
      <c r="H120"/>
      <c r="I120"/>
      <c r="J120"/>
      <c r="K120"/>
      <c r="L120"/>
      <c r="M120">
        <v>0</v>
      </c>
      <c r="N120">
        <v>0</v>
      </c>
      <c r="O120"/>
      <c r="P120">
        <v>0</v>
      </c>
      <c r="Q120">
        <f>N120/P120</f>
      </c>
      <c r="R120" s="1">
        <v>0</v>
      </c>
      <c r="S120" s="1">
        <v>0</v>
      </c>
      <c r="T120">
        <f>IF(R120=S120,"相符","不相符")</f>
      </c>
      <c r="U120"/>
      <c r="V120">
        <f>P120*R120</f>
      </c>
      <c r="W120">
        <f>Q120*V120</f>
      </c>
      <c r="X120">
        <v>0</v>
      </c>
      <c r="Y120"/>
      <c r="Z120"/>
      <c r="AA120"/>
      <c r="AB120"/>
      <c r="AC120"/>
      <c r="AD120"/>
    </row>
    <row r="121">
      <c r="A121" t="s">
        <v>30</v>
      </c>
      <c r="B121"/>
      <c r="C121" t="s">
        <v>455</v>
      </c>
      <c r="D121" t="s">
        <v>505</v>
      </c>
      <c r="E121" t="s">
        <v>506</v>
      </c>
      <c r="F121" s="2">
        <v>46282</v>
      </c>
      <c r="G121">
        <v>15</v>
      </c>
      <c r="H121"/>
      <c r="I121"/>
      <c r="J121"/>
      <c r="K121"/>
      <c r="L121"/>
      <c r="M121">
        <v>0</v>
      </c>
      <c r="N121">
        <v>0</v>
      </c>
      <c r="O121"/>
      <c r="P121">
        <v>0</v>
      </c>
      <c r="Q121">
        <f>N121/P121</f>
      </c>
      <c r="R121" s="1">
        <v>0</v>
      </c>
      <c r="S121" s="1">
        <v>0</v>
      </c>
      <c r="T121">
        <f>IF(R121=S121,"相符","不相符")</f>
      </c>
      <c r="U121"/>
      <c r="V121">
        <f>P121*R121</f>
      </c>
      <c r="W121">
        <f>Q121*V121</f>
      </c>
      <c r="X121">
        <v>0</v>
      </c>
      <c r="Y121"/>
      <c r="Z121"/>
      <c r="AA121"/>
      <c r="AB121"/>
      <c r="AC121"/>
      <c r="AD121"/>
    </row>
    <row r="122">
      <c r="A122" t="s">
        <v>30</v>
      </c>
      <c r="B122"/>
      <c r="C122" t="s">
        <v>455</v>
      </c>
      <c r="D122" t="s">
        <v>505</v>
      </c>
      <c r="E122" t="s">
        <v>506</v>
      </c>
      <c r="F122" s="2">
        <v>46282</v>
      </c>
      <c r="G122">
        <v>16</v>
      </c>
      <c r="H122"/>
      <c r="I122"/>
      <c r="J122"/>
      <c r="K122"/>
      <c r="L122"/>
      <c r="M122">
        <v>0</v>
      </c>
      <c r="N122">
        <v>0</v>
      </c>
      <c r="O122"/>
      <c r="P122">
        <v>0</v>
      </c>
      <c r="Q122">
        <f>N122/P122</f>
      </c>
      <c r="R122" s="1">
        <v>0</v>
      </c>
      <c r="S122" s="1">
        <v>0</v>
      </c>
      <c r="T122">
        <f>IF(R122=S122,"相符","不相符")</f>
      </c>
      <c r="U122"/>
      <c r="V122">
        <f>P122*R122</f>
      </c>
      <c r="W122">
        <f>Q122*V122</f>
      </c>
      <c r="X122">
        <v>0</v>
      </c>
      <c r="Y122"/>
      <c r="Z122"/>
      <c r="AA122"/>
      <c r="AB122"/>
      <c r="AC122"/>
      <c r="AD122"/>
    </row>
    <row r="123">
      <c r="A123" t="s">
        <v>30</v>
      </c>
      <c r="B123"/>
      <c r="C123" t="s">
        <v>455</v>
      </c>
      <c r="D123" t="s">
        <v>505</v>
      </c>
      <c r="E123" t="s">
        <v>506</v>
      </c>
      <c r="F123" s="2">
        <v>46282</v>
      </c>
      <c r="G123">
        <v>17</v>
      </c>
      <c r="H123"/>
      <c r="I123"/>
      <c r="J123"/>
      <c r="K123"/>
      <c r="L123"/>
      <c r="M123">
        <v>0</v>
      </c>
      <c r="N123">
        <v>0</v>
      </c>
      <c r="O123"/>
      <c r="P123">
        <v>0</v>
      </c>
      <c r="Q123">
        <f>N123/P123</f>
      </c>
      <c r="R123" s="1">
        <v>0</v>
      </c>
      <c r="S123" s="1">
        <v>0</v>
      </c>
      <c r="T123">
        <f>IF(R123=S123,"相符","不相符")</f>
      </c>
      <c r="U123"/>
      <c r="V123">
        <f>P123*R123</f>
      </c>
      <c r="W123">
        <f>Q123*V123</f>
      </c>
      <c r="X123">
        <v>0</v>
      </c>
      <c r="Y123"/>
      <c r="Z123"/>
      <c r="AA123"/>
      <c r="AB123"/>
      <c r="AC123"/>
      <c r="AD123"/>
    </row>
    <row r="124">
      <c r="A124" t="s">
        <v>30</v>
      </c>
      <c r="B124"/>
      <c r="C124" t="s">
        <v>455</v>
      </c>
      <c r="D124" t="s">
        <v>505</v>
      </c>
      <c r="E124" t="s">
        <v>506</v>
      </c>
      <c r="F124" s="2">
        <v>46282</v>
      </c>
      <c r="G124">
        <v>18</v>
      </c>
      <c r="H124"/>
      <c r="I124"/>
      <c r="J124"/>
      <c r="K124"/>
      <c r="L124"/>
      <c r="M124">
        <v>0</v>
      </c>
      <c r="N124">
        <v>0</v>
      </c>
      <c r="O124"/>
      <c r="P124">
        <v>0</v>
      </c>
      <c r="Q124">
        <f>N124/P124</f>
      </c>
      <c r="R124" s="1">
        <v>0</v>
      </c>
      <c r="S124" s="1">
        <v>0</v>
      </c>
      <c r="T124">
        <f>IF(R124=S124,"相符","不相符")</f>
      </c>
      <c r="U124"/>
      <c r="V124">
        <f>P124*R124</f>
      </c>
      <c r="W124">
        <f>Q124*V124</f>
      </c>
      <c r="X124">
        <v>0</v>
      </c>
      <c r="Y124"/>
      <c r="Z124"/>
      <c r="AA124"/>
      <c r="AB124"/>
      <c r="AC124"/>
      <c r="AD124"/>
    </row>
    <row r="125">
      <c r="A125" t="s">
        <v>30</v>
      </c>
      <c r="B125"/>
      <c r="C125" t="s">
        <v>455</v>
      </c>
      <c r="D125" t="s">
        <v>505</v>
      </c>
      <c r="E125" t="s">
        <v>506</v>
      </c>
      <c r="F125" s="2">
        <v>46282</v>
      </c>
      <c r="G125">
        <v>19</v>
      </c>
      <c r="H125"/>
      <c r="I125"/>
      <c r="J125"/>
      <c r="K125"/>
      <c r="L125"/>
      <c r="M125">
        <v>0</v>
      </c>
      <c r="N125">
        <v>0</v>
      </c>
      <c r="O125"/>
      <c r="P125">
        <v>0</v>
      </c>
      <c r="Q125">
        <f>N125/P125</f>
      </c>
      <c r="R125" s="1">
        <v>0</v>
      </c>
      <c r="S125" s="1">
        <v>0</v>
      </c>
      <c r="T125">
        <f>IF(R125=S125,"相符","不相符")</f>
      </c>
      <c r="U125"/>
      <c r="V125">
        <f>P125*R125</f>
      </c>
      <c r="W125">
        <f>Q125*V125</f>
      </c>
      <c r="X125">
        <v>0</v>
      </c>
      <c r="Y125"/>
      <c r="Z125"/>
      <c r="AA125"/>
      <c r="AB125"/>
      <c r="AC125"/>
      <c r="AD125"/>
    </row>
    <row r="126">
      <c r="A126" t="s">
        <v>30</v>
      </c>
      <c r="B126"/>
      <c r="C126" t="s">
        <v>455</v>
      </c>
      <c r="D126" t="s">
        <v>505</v>
      </c>
      <c r="E126" t="s">
        <v>506</v>
      </c>
      <c r="F126" s="2">
        <v>46282</v>
      </c>
      <c r="G126">
        <v>20</v>
      </c>
      <c r="H126"/>
      <c r="I126"/>
      <c r="J126"/>
      <c r="K126"/>
      <c r="L126"/>
      <c r="M126">
        <v>0</v>
      </c>
      <c r="N126">
        <v>0</v>
      </c>
      <c r="O126"/>
      <c r="P126">
        <v>0</v>
      </c>
      <c r="Q126">
        <f>N126/P126</f>
      </c>
      <c r="R126" s="1">
        <v>0</v>
      </c>
      <c r="S126" s="1">
        <v>0</v>
      </c>
      <c r="T126">
        <f>IF(R126=S126,"相符","不相符")</f>
      </c>
      <c r="U126"/>
      <c r="V126">
        <f>P126*R126</f>
      </c>
      <c r="W126">
        <f>Q126*V126</f>
      </c>
      <c r="X126">
        <v>0</v>
      </c>
      <c r="Y126"/>
      <c r="Z126"/>
      <c r="AA126"/>
      <c r="AB126"/>
      <c r="AC126"/>
      <c r="AD126"/>
    </row>
    <row r="127">
      <c r="A127" t="s">
        <v>30</v>
      </c>
      <c r="B127"/>
      <c r="C127" t="s">
        <v>455</v>
      </c>
      <c r="D127" t="s">
        <v>505</v>
      </c>
      <c r="E127" t="s">
        <v>506</v>
      </c>
      <c r="F127" s="2">
        <v>46282</v>
      </c>
      <c r="G127">
        <v>21</v>
      </c>
      <c r="H127"/>
      <c r="I127"/>
      <c r="J127"/>
      <c r="K127"/>
      <c r="L127"/>
      <c r="M127">
        <v>0</v>
      </c>
      <c r="N127">
        <v>0</v>
      </c>
      <c r="O127"/>
      <c r="P127">
        <v>0</v>
      </c>
      <c r="Q127">
        <f>N127/P127</f>
      </c>
      <c r="R127" s="1">
        <v>0</v>
      </c>
      <c r="S127" s="1">
        <v>0</v>
      </c>
      <c r="T127">
        <f>IF(R127=S127,"相符","不相符")</f>
      </c>
      <c r="U127"/>
      <c r="V127">
        <f>P127*R127</f>
      </c>
      <c r="W127">
        <f>Q127*V127</f>
      </c>
      <c r="X127">
        <v>0</v>
      </c>
      <c r="Y127"/>
      <c r="Z127"/>
      <c r="AA127"/>
      <c r="AB127"/>
      <c r="AC127"/>
      <c r="AD127"/>
    </row>
    <row r="128">
      <c r="A128" t="s">
        <v>30</v>
      </c>
      <c r="B128"/>
      <c r="C128" t="s">
        <v>455</v>
      </c>
      <c r="D128" t="s">
        <v>505</v>
      </c>
      <c r="E128" t="s">
        <v>506</v>
      </c>
      <c r="F128" s="2">
        <v>46282</v>
      </c>
      <c r="G128">
        <v>22</v>
      </c>
      <c r="H128"/>
      <c r="I128"/>
      <c r="J128"/>
      <c r="K128"/>
      <c r="L128"/>
      <c r="M128">
        <v>0</v>
      </c>
      <c r="N128">
        <v>0</v>
      </c>
      <c r="O128"/>
      <c r="P128">
        <v>0</v>
      </c>
      <c r="Q128">
        <f>N128/P128</f>
      </c>
      <c r="R128" s="1">
        <v>0</v>
      </c>
      <c r="S128" s="1">
        <v>0</v>
      </c>
      <c r="T128">
        <f>IF(R128=S128,"相符","不相符")</f>
      </c>
      <c r="U128"/>
      <c r="V128">
        <f>P128*R128</f>
      </c>
      <c r="W128">
        <f>Q128*V128</f>
      </c>
      <c r="X128">
        <v>0</v>
      </c>
      <c r="Y128"/>
      <c r="Z128"/>
      <c r="AA128"/>
      <c r="AB128"/>
      <c r="AC128"/>
      <c r="AD128"/>
    </row>
    <row r="129">
      <c r="A129" t="s">
        <v>30</v>
      </c>
      <c r="B129"/>
      <c r="C129" t="s">
        <v>455</v>
      </c>
      <c r="D129" t="s">
        <v>505</v>
      </c>
      <c r="E129" t="s">
        <v>506</v>
      </c>
      <c r="F129" s="2">
        <v>46282</v>
      </c>
      <c r="G129">
        <v>23</v>
      </c>
      <c r="H129"/>
      <c r="I129"/>
      <c r="J129"/>
      <c r="K129"/>
      <c r="L129"/>
      <c r="M129">
        <v>0</v>
      </c>
      <c r="N129">
        <v>0</v>
      </c>
      <c r="O129"/>
      <c r="P129">
        <v>0</v>
      </c>
      <c r="Q129">
        <f>N129/P129</f>
      </c>
      <c r="R129" s="1">
        <v>0</v>
      </c>
      <c r="S129" s="1">
        <v>0</v>
      </c>
      <c r="T129">
        <f>IF(R129=S129,"相符","不相符")</f>
      </c>
      <c r="U129"/>
      <c r="V129">
        <f>P129*R129</f>
      </c>
      <c r="W129">
        <f>Q129*V129</f>
      </c>
      <c r="X129">
        <v>0</v>
      </c>
      <c r="Y129"/>
      <c r="Z129"/>
      <c r="AA129"/>
      <c r="AB129"/>
      <c r="AC129"/>
      <c r="AD129"/>
    </row>
    <row r="130">
      <c r="A130" t="s">
        <v>30</v>
      </c>
      <c r="B130"/>
      <c r="C130" t="s">
        <v>455</v>
      </c>
      <c r="D130" t="s">
        <v>505</v>
      </c>
      <c r="E130" t="s">
        <v>506</v>
      </c>
      <c r="F130" s="2">
        <v>46282</v>
      </c>
      <c r="G130">
        <v>24</v>
      </c>
      <c r="H130"/>
      <c r="I130"/>
      <c r="J130"/>
      <c r="K130"/>
      <c r="L130"/>
      <c r="M130">
        <v>0</v>
      </c>
      <c r="N130">
        <v>0</v>
      </c>
      <c r="O130"/>
      <c r="P130">
        <v>0</v>
      </c>
      <c r="Q130">
        <f>N130/P130</f>
      </c>
      <c r="R130" s="1">
        <v>0</v>
      </c>
      <c r="S130" s="1">
        <v>0</v>
      </c>
      <c r="T130">
        <f>IF(R130=S130,"相符","不相符")</f>
      </c>
      <c r="U130"/>
      <c r="V130">
        <f>P130*R130</f>
      </c>
      <c r="W130">
        <f>Q130*V130</f>
      </c>
      <c r="X130">
        <v>0</v>
      </c>
      <c r="Y130"/>
      <c r="Z130"/>
      <c r="AA130"/>
      <c r="AB130"/>
      <c r="AC130"/>
      <c r="AD130"/>
    </row>
    <row r="131">
      <c r="A131" t="s">
        <v>30</v>
      </c>
      <c r="B131"/>
      <c r="C131" t="s">
        <v>455</v>
      </c>
      <c r="D131" t="s">
        <v>505</v>
      </c>
      <c r="E131" t="s">
        <v>506</v>
      </c>
      <c r="F131" s="2">
        <v>46282</v>
      </c>
      <c r="G131">
        <v>25</v>
      </c>
      <c r="H131"/>
      <c r="I131"/>
      <c r="J131"/>
      <c r="K131"/>
      <c r="L131"/>
      <c r="M131">
        <v>0</v>
      </c>
      <c r="N131">
        <v>0</v>
      </c>
      <c r="O131"/>
      <c r="P131">
        <v>0</v>
      </c>
      <c r="Q131">
        <f>N131/P131</f>
      </c>
      <c r="R131" s="1">
        <v>0</v>
      </c>
      <c r="S131" s="1">
        <v>0</v>
      </c>
      <c r="T131">
        <f>IF(R131=S131,"相符","不相符")</f>
      </c>
      <c r="U131"/>
      <c r="V131">
        <f>P131*R131</f>
      </c>
      <c r="W131">
        <f>Q131*V131</f>
      </c>
      <c r="X131">
        <v>0</v>
      </c>
      <c r="Y131"/>
      <c r="Z131"/>
      <c r="AA131"/>
      <c r="AB131"/>
      <c r="AC131"/>
      <c r="AD131"/>
    </row>
    <row r="132">
      <c r="A132" t="s">
        <v>30</v>
      </c>
      <c r="B132"/>
      <c r="C132" t="s">
        <v>455</v>
      </c>
      <c r="D132" t="s">
        <v>505</v>
      </c>
      <c r="E132" t="s">
        <v>506</v>
      </c>
      <c r="F132" s="2">
        <v>46282</v>
      </c>
      <c r="G132">
        <v>26</v>
      </c>
      <c r="H132"/>
      <c r="I132"/>
      <c r="J132"/>
      <c r="K132"/>
      <c r="L132"/>
      <c r="M132">
        <v>0</v>
      </c>
      <c r="N132">
        <v>0</v>
      </c>
      <c r="O132"/>
      <c r="P132">
        <v>0</v>
      </c>
      <c r="Q132">
        <f>N132/P132</f>
      </c>
      <c r="R132" s="1">
        <v>0</v>
      </c>
      <c r="S132" s="1">
        <v>0</v>
      </c>
      <c r="T132">
        <f>IF(R132=S132,"相符","不相符")</f>
      </c>
      <c r="U132"/>
      <c r="V132">
        <f>P132*R132</f>
      </c>
      <c r="W132">
        <f>Q132*V132</f>
      </c>
      <c r="X132">
        <v>0</v>
      </c>
      <c r="Y132"/>
      <c r="Z132"/>
      <c r="AA132"/>
      <c r="AB132"/>
      <c r="AC132"/>
      <c r="AD132"/>
    </row>
    <row r="133">
      <c r="A133" t="s">
        <v>30</v>
      </c>
      <c r="B133"/>
      <c r="C133" t="s">
        <v>455</v>
      </c>
      <c r="D133" t="s">
        <v>505</v>
      </c>
      <c r="E133" t="s">
        <v>506</v>
      </c>
      <c r="F133" s="2">
        <v>46282</v>
      </c>
      <c r="G133">
        <v>27</v>
      </c>
      <c r="H133"/>
      <c r="I133"/>
      <c r="J133"/>
      <c r="K133"/>
      <c r="L133"/>
      <c r="M133">
        <v>0</v>
      </c>
      <c r="N133">
        <v>0</v>
      </c>
      <c r="O133"/>
      <c r="P133">
        <v>0</v>
      </c>
      <c r="Q133">
        <f>N133/P133</f>
      </c>
      <c r="R133" s="1">
        <v>0</v>
      </c>
      <c r="S133" s="1">
        <v>0</v>
      </c>
      <c r="T133">
        <f>IF(R133=S133,"相符","不相符")</f>
      </c>
      <c r="U133"/>
      <c r="V133">
        <f>P133*R133</f>
      </c>
      <c r="W133">
        <f>Q133*V133</f>
      </c>
      <c r="X133">
        <v>0</v>
      </c>
      <c r="Y133"/>
      <c r="Z133"/>
      <c r="AA133"/>
      <c r="AB133"/>
      <c r="AC133"/>
      <c r="AD133"/>
    </row>
    <row r="134">
      <c r="A134" t="s">
        <v>30</v>
      </c>
      <c r="B134"/>
      <c r="C134" t="s">
        <v>455</v>
      </c>
      <c r="D134" t="s">
        <v>505</v>
      </c>
      <c r="E134" t="s">
        <v>506</v>
      </c>
      <c r="F134" s="2">
        <v>46282</v>
      </c>
      <c r="G134">
        <v>28</v>
      </c>
      <c r="H134"/>
      <c r="I134"/>
      <c r="J134"/>
      <c r="K134"/>
      <c r="L134"/>
      <c r="M134">
        <v>0</v>
      </c>
      <c r="N134">
        <v>0</v>
      </c>
      <c r="O134"/>
      <c r="P134">
        <v>0</v>
      </c>
      <c r="Q134">
        <f>N134/P134</f>
      </c>
      <c r="R134" s="1">
        <v>0</v>
      </c>
      <c r="S134" s="1">
        <v>0</v>
      </c>
      <c r="T134">
        <f>IF(R134=S134,"相符","不相符")</f>
      </c>
      <c r="U134"/>
      <c r="V134">
        <f>P134*R134</f>
      </c>
      <c r="W134">
        <f>Q134*V134</f>
      </c>
      <c r="X134">
        <v>0</v>
      </c>
      <c r="Y134"/>
      <c r="Z134"/>
      <c r="AA134"/>
      <c r="AB134"/>
      <c r="AC134"/>
      <c r="AD134"/>
    </row>
    <row r="135">
      <c r="A135" t="s">
        <v>30</v>
      </c>
      <c r="B135"/>
      <c r="C135" t="s">
        <v>455</v>
      </c>
      <c r="D135" t="s">
        <v>505</v>
      </c>
      <c r="E135" t="s">
        <v>506</v>
      </c>
      <c r="F135" s="2">
        <v>46282</v>
      </c>
      <c r="G135">
        <v>29</v>
      </c>
      <c r="H135"/>
      <c r="I135"/>
      <c r="J135"/>
      <c r="K135"/>
      <c r="L135"/>
      <c r="M135">
        <v>0</v>
      </c>
      <c r="N135">
        <v>0</v>
      </c>
      <c r="O135"/>
      <c r="P135">
        <v>0</v>
      </c>
      <c r="Q135">
        <f>N135/P135</f>
      </c>
      <c r="R135" s="1">
        <v>0</v>
      </c>
      <c r="S135" s="1">
        <v>0</v>
      </c>
      <c r="T135">
        <f>IF(R135=S135,"相符","不相符")</f>
      </c>
      <c r="U135"/>
      <c r="V135">
        <f>P135*R135</f>
      </c>
      <c r="W135">
        <f>Q135*V135</f>
      </c>
      <c r="X135">
        <v>0</v>
      </c>
      <c r="Y135"/>
      <c r="Z135"/>
      <c r="AA135"/>
      <c r="AB135"/>
      <c r="AC135"/>
      <c r="AD135"/>
    </row>
    <row r="136">
      <c r="A136" t="s">
        <v>30</v>
      </c>
      <c r="B136"/>
      <c r="C136" t="s">
        <v>455</v>
      </c>
      <c r="D136" t="s">
        <v>505</v>
      </c>
      <c r="E136" t="s">
        <v>506</v>
      </c>
      <c r="F136" s="2">
        <v>46282</v>
      </c>
      <c r="G136">
        <v>30</v>
      </c>
      <c r="H136"/>
      <c r="I136"/>
      <c r="J136"/>
      <c r="K136"/>
      <c r="L136"/>
      <c r="M136">
        <v>0</v>
      </c>
      <c r="N136">
        <v>0</v>
      </c>
      <c r="O136"/>
      <c r="P136">
        <v>0</v>
      </c>
      <c r="Q136">
        <f>N136/P136</f>
      </c>
      <c r="R136" s="1">
        <v>0</v>
      </c>
      <c r="S136" s="1">
        <v>0</v>
      </c>
      <c r="T136">
        <f>IF(R136=S136,"相符","不相符")</f>
      </c>
      <c r="U136"/>
      <c r="V136">
        <f>P136*R136</f>
      </c>
      <c r="W136">
        <f>Q136*V136</f>
      </c>
      <c r="X136">
        <v>0</v>
      </c>
      <c r="Y136"/>
      <c r="Z136"/>
      <c r="AA136"/>
      <c r="AB136"/>
      <c r="AC136"/>
      <c r="AD136"/>
    </row>
    <row r="137">
      <c r="A137" t="s">
        <v>30</v>
      </c>
      <c r="B137"/>
      <c r="C137" t="s">
        <v>455</v>
      </c>
      <c r="D137" t="s">
        <v>505</v>
      </c>
      <c r="E137" t="s">
        <v>506</v>
      </c>
      <c r="F137" s="2">
        <v>46282</v>
      </c>
      <c r="G137">
        <v>31</v>
      </c>
      <c r="H137"/>
      <c r="I137"/>
      <c r="J137"/>
      <c r="K137"/>
      <c r="L137"/>
      <c r="M137">
        <v>0</v>
      </c>
      <c r="N137">
        <v>0</v>
      </c>
      <c r="O137"/>
      <c r="P137">
        <v>0</v>
      </c>
      <c r="Q137">
        <f>N137/P137</f>
      </c>
      <c r="R137" s="1">
        <v>0</v>
      </c>
      <c r="S137" s="1">
        <v>0</v>
      </c>
      <c r="T137">
        <f>IF(R137=S137,"相符","不相符")</f>
      </c>
      <c r="U137"/>
      <c r="V137">
        <f>P137*R137</f>
      </c>
      <c r="W137">
        <f>Q137*V137</f>
      </c>
      <c r="X137">
        <v>0</v>
      </c>
      <c r="Y137"/>
      <c r="Z137"/>
      <c r="AA137"/>
      <c r="AB137"/>
      <c r="AC137"/>
      <c r="AD137"/>
    </row>
    <row r="138">
      <c r="A138" t="s">
        <v>30</v>
      </c>
      <c r="B138"/>
      <c r="C138" t="s">
        <v>455</v>
      </c>
      <c r="D138" t="s">
        <v>505</v>
      </c>
      <c r="E138" t="s">
        <v>506</v>
      </c>
      <c r="F138" s="2">
        <v>46282</v>
      </c>
      <c r="G138">
        <v>32</v>
      </c>
      <c r="H138"/>
      <c r="I138"/>
      <c r="J138"/>
      <c r="K138"/>
      <c r="L138"/>
      <c r="M138">
        <v>0</v>
      </c>
      <c r="N138">
        <v>0</v>
      </c>
      <c r="O138"/>
      <c r="P138">
        <v>0</v>
      </c>
      <c r="Q138">
        <f>N138/P138</f>
      </c>
      <c r="R138" s="1">
        <v>0</v>
      </c>
      <c r="S138" s="1">
        <v>0</v>
      </c>
      <c r="T138">
        <f>IF(R138=S138,"相符","不相符")</f>
      </c>
      <c r="U138"/>
      <c r="V138">
        <f>P138*R138</f>
      </c>
      <c r="W138">
        <f>Q138*V138</f>
      </c>
      <c r="X138">
        <v>0</v>
      </c>
      <c r="Y138"/>
      <c r="Z138"/>
      <c r="AA138"/>
      <c r="AB138"/>
      <c r="AC138"/>
      <c r="AD138"/>
    </row>
    <row r="139">
      <c r="A139" t="s">
        <v>30</v>
      </c>
      <c r="B139"/>
      <c r="C139" t="s">
        <v>455</v>
      </c>
      <c r="D139" t="s">
        <v>505</v>
      </c>
      <c r="E139" t="s">
        <v>506</v>
      </c>
      <c r="F139" s="2">
        <v>46282</v>
      </c>
      <c r="G139">
        <v>33</v>
      </c>
      <c r="H139"/>
      <c r="I139"/>
      <c r="J139"/>
      <c r="K139"/>
      <c r="L139"/>
      <c r="M139">
        <v>0</v>
      </c>
      <c r="N139">
        <v>0</v>
      </c>
      <c r="O139"/>
      <c r="P139">
        <v>0</v>
      </c>
      <c r="Q139">
        <f>N139/P139</f>
      </c>
      <c r="R139" s="1">
        <v>0</v>
      </c>
      <c r="S139" s="1">
        <v>0</v>
      </c>
      <c r="T139">
        <f>IF(R139=S139,"相符","不相符")</f>
      </c>
      <c r="U139"/>
      <c r="V139">
        <f>P139*R139</f>
      </c>
      <c r="W139">
        <f>Q139*V139</f>
      </c>
      <c r="X139">
        <v>0</v>
      </c>
      <c r="Y139"/>
      <c r="Z139"/>
      <c r="AA139"/>
      <c r="AB139"/>
      <c r="AC139"/>
      <c r="AD139"/>
    </row>
    <row r="140">
      <c r="A140" t="s">
        <v>30</v>
      </c>
      <c r="B140"/>
      <c r="C140" t="s">
        <v>455</v>
      </c>
      <c r="D140" t="s">
        <v>505</v>
      </c>
      <c r="E140" t="s">
        <v>506</v>
      </c>
      <c r="F140" s="2">
        <v>46282</v>
      </c>
      <c r="G140">
        <v>34</v>
      </c>
      <c r="H140"/>
      <c r="I140"/>
      <c r="J140"/>
      <c r="K140"/>
      <c r="L140"/>
      <c r="M140">
        <v>0</v>
      </c>
      <c r="N140">
        <v>0</v>
      </c>
      <c r="O140"/>
      <c r="P140">
        <v>0</v>
      </c>
      <c r="Q140">
        <f>N140/P140</f>
      </c>
      <c r="R140" s="1">
        <v>0</v>
      </c>
      <c r="S140" s="1">
        <v>0</v>
      </c>
      <c r="T140">
        <f>IF(R140=S140,"相符","不相符")</f>
      </c>
      <c r="U140"/>
      <c r="V140">
        <f>P140*R140</f>
      </c>
      <c r="W140">
        <f>Q140*V140</f>
      </c>
      <c r="X140">
        <v>0</v>
      </c>
      <c r="Y140"/>
      <c r="Z140"/>
      <c r="AA140"/>
      <c r="AB140"/>
      <c r="AC140"/>
      <c r="AD140"/>
    </row>
    <row r="141">
      <c r="A141" t="s">
        <v>30</v>
      </c>
      <c r="B141"/>
      <c r="C141" t="s">
        <v>455</v>
      </c>
      <c r="D141" t="s">
        <v>505</v>
      </c>
      <c r="E141" t="s">
        <v>506</v>
      </c>
      <c r="F141" s="2">
        <v>46282</v>
      </c>
      <c r="G141">
        <v>35</v>
      </c>
      <c r="H141"/>
      <c r="I141"/>
      <c r="J141"/>
      <c r="K141"/>
      <c r="L141"/>
      <c r="M141">
        <v>0</v>
      </c>
      <c r="N141">
        <v>0</v>
      </c>
      <c r="O141"/>
      <c r="P141">
        <v>0</v>
      </c>
      <c r="Q141">
        <f>N141/P141</f>
      </c>
      <c r="R141" s="1">
        <v>0</v>
      </c>
      <c r="S141" s="1">
        <v>0</v>
      </c>
      <c r="T141">
        <f>IF(R141=S141,"相符","不相符")</f>
      </c>
      <c r="U141"/>
      <c r="V141">
        <f>P141*R141</f>
      </c>
      <c r="W141">
        <f>Q141*V141</f>
      </c>
      <c r="X141">
        <v>0</v>
      </c>
      <c r="Y141"/>
      <c r="Z141"/>
      <c r="AA141"/>
      <c r="AB141"/>
      <c r="AC141"/>
      <c r="AD141"/>
    </row>
    <row r="142">
      <c r="A142" t="s">
        <v>30</v>
      </c>
      <c r="B142"/>
      <c r="C142" t="s">
        <v>455</v>
      </c>
      <c r="D142" t="s">
        <v>505</v>
      </c>
      <c r="E142" t="s">
        <v>506</v>
      </c>
      <c r="F142" s="2">
        <v>46282</v>
      </c>
      <c r="G142">
        <v>36</v>
      </c>
      <c r="H142"/>
      <c r="I142"/>
      <c r="J142"/>
      <c r="K142"/>
      <c r="L142"/>
      <c r="M142">
        <v>0</v>
      </c>
      <c r="N142">
        <v>0</v>
      </c>
      <c r="O142"/>
      <c r="P142">
        <v>0</v>
      </c>
      <c r="Q142">
        <f>N142/P142</f>
      </c>
      <c r="R142" s="1">
        <v>0</v>
      </c>
      <c r="S142" s="1">
        <v>0</v>
      </c>
      <c r="T142">
        <f>IF(R142=S142,"相符","不相符")</f>
      </c>
      <c r="U142"/>
      <c r="V142">
        <f>P142*R142</f>
      </c>
      <c r="W142">
        <f>Q142*V142</f>
      </c>
      <c r="X142">
        <v>0</v>
      </c>
      <c r="Y142"/>
      <c r="Z142"/>
      <c r="AA142"/>
      <c r="AB142"/>
      <c r="AC142"/>
      <c r="AD142"/>
    </row>
    <row r="143">
      <c r="A143" t="s">
        <v>30</v>
      </c>
      <c r="B143"/>
      <c r="C143" t="s">
        <v>455</v>
      </c>
      <c r="D143" t="s">
        <v>505</v>
      </c>
      <c r="E143" t="s">
        <v>506</v>
      </c>
      <c r="F143" s="2">
        <v>46282</v>
      </c>
      <c r="G143">
        <v>37</v>
      </c>
      <c r="H143"/>
      <c r="I143"/>
      <c r="J143"/>
      <c r="K143"/>
      <c r="L143"/>
      <c r="M143">
        <v>0</v>
      </c>
      <c r="N143">
        <v>0</v>
      </c>
      <c r="O143"/>
      <c r="P143">
        <v>0</v>
      </c>
      <c r="Q143">
        <f>N143/P143</f>
      </c>
      <c r="R143" s="1">
        <v>0</v>
      </c>
      <c r="S143" s="1">
        <v>0</v>
      </c>
      <c r="T143">
        <f>IF(R143=S143,"相符","不相符")</f>
      </c>
      <c r="U143"/>
      <c r="V143">
        <f>P143*R143</f>
      </c>
      <c r="W143">
        <f>Q143*V143</f>
      </c>
      <c r="X143">
        <v>0</v>
      </c>
      <c r="Y143"/>
      <c r="Z143"/>
      <c r="AA143"/>
      <c r="AB143"/>
      <c r="AC143"/>
      <c r="AD143"/>
    </row>
    <row r="144">
      <c r="A144" t="s">
        <v>30</v>
      </c>
      <c r="B144"/>
      <c r="C144" t="s">
        <v>455</v>
      </c>
      <c r="D144" t="s">
        <v>505</v>
      </c>
      <c r="E144" t="s">
        <v>506</v>
      </c>
      <c r="F144" s="2">
        <v>46282</v>
      </c>
      <c r="G144">
        <v>38</v>
      </c>
      <c r="H144"/>
      <c r="I144"/>
      <c r="J144"/>
      <c r="K144"/>
      <c r="L144"/>
      <c r="M144">
        <v>0</v>
      </c>
      <c r="N144">
        <v>0</v>
      </c>
      <c r="O144"/>
      <c r="P144">
        <v>0</v>
      </c>
      <c r="Q144">
        <f>N144/P144</f>
      </c>
      <c r="R144" s="1">
        <v>0</v>
      </c>
      <c r="S144" s="1">
        <v>0</v>
      </c>
      <c r="T144">
        <f>IF(R144=S144,"相符","不相符")</f>
      </c>
      <c r="U144"/>
      <c r="V144">
        <f>P144*R144</f>
      </c>
      <c r="W144">
        <f>Q144*V144</f>
      </c>
      <c r="X144">
        <v>0</v>
      </c>
      <c r="Y144"/>
      <c r="Z144"/>
      <c r="AA144"/>
      <c r="AB144"/>
      <c r="AC144"/>
      <c r="AD144"/>
    </row>
    <row r="145">
      <c r="A145" t="s">
        <v>30</v>
      </c>
      <c r="B145"/>
      <c r="C145" t="s">
        <v>455</v>
      </c>
      <c r="D145" t="s">
        <v>505</v>
      </c>
      <c r="E145" t="s">
        <v>506</v>
      </c>
      <c r="F145" s="2">
        <v>46282</v>
      </c>
      <c r="G145">
        <v>39</v>
      </c>
      <c r="H145"/>
      <c r="I145"/>
      <c r="J145"/>
      <c r="K145"/>
      <c r="L145"/>
      <c r="M145">
        <v>0</v>
      </c>
      <c r="N145">
        <v>0</v>
      </c>
      <c r="O145"/>
      <c r="P145">
        <v>0</v>
      </c>
      <c r="Q145">
        <f>N145/P145</f>
      </c>
      <c r="R145" s="1">
        <v>0</v>
      </c>
      <c r="S145" s="1">
        <v>0</v>
      </c>
      <c r="T145">
        <f>IF(R145=S145,"相符","不相符")</f>
      </c>
      <c r="U145"/>
      <c r="V145">
        <f>P145*R145</f>
      </c>
      <c r="W145">
        <f>Q145*V145</f>
      </c>
      <c r="X145">
        <v>0</v>
      </c>
      <c r="Y145"/>
      <c r="Z145"/>
      <c r="AA145"/>
      <c r="AB145"/>
      <c r="AC145"/>
      <c r="AD145"/>
    </row>
    <row r="146">
      <c r="A146" t="s">
        <v>30</v>
      </c>
      <c r="B146"/>
      <c r="C146" t="s">
        <v>455</v>
      </c>
      <c r="D146" t="s">
        <v>505</v>
      </c>
      <c r="E146" t="s">
        <v>506</v>
      </c>
      <c r="F146" s="2">
        <v>46282</v>
      </c>
      <c r="G146">
        <v>40</v>
      </c>
      <c r="H146"/>
      <c r="I146"/>
      <c r="J146"/>
      <c r="K146"/>
      <c r="L146"/>
      <c r="M146">
        <v>0</v>
      </c>
      <c r="N146">
        <v>0</v>
      </c>
      <c r="O146"/>
      <c r="P146">
        <v>0</v>
      </c>
      <c r="Q146">
        <f>N146/P146</f>
      </c>
      <c r="R146" s="1">
        <v>0</v>
      </c>
      <c r="S146" s="1">
        <v>0</v>
      </c>
      <c r="T146">
        <f>IF(R146=S146,"相符","不相符")</f>
      </c>
      <c r="U146"/>
      <c r="V146">
        <f>P146*R146</f>
      </c>
      <c r="W146">
        <f>Q146*V146</f>
      </c>
      <c r="X146">
        <v>0</v>
      </c>
      <c r="Y146"/>
      <c r="Z146"/>
      <c r="AA146"/>
      <c r="AB146"/>
      <c r="AC146"/>
      <c r="AD146"/>
    </row>
    <row r="147">
      <c r="A147" t="s">
        <v>30</v>
      </c>
      <c r="B147"/>
      <c r="C147" t="s">
        <v>455</v>
      </c>
      <c r="D147" t="s">
        <v>505</v>
      </c>
      <c r="E147" t="s">
        <v>506</v>
      </c>
      <c r="F147" s="2">
        <v>46282</v>
      </c>
      <c r="G147">
        <v>41</v>
      </c>
      <c r="H147"/>
      <c r="I147"/>
      <c r="J147"/>
      <c r="K147"/>
      <c r="L147"/>
      <c r="M147">
        <v>0</v>
      </c>
      <c r="N147">
        <v>0</v>
      </c>
      <c r="O147"/>
      <c r="P147">
        <v>0</v>
      </c>
      <c r="Q147">
        <f>N147/P147</f>
      </c>
      <c r="R147" s="1">
        <v>0</v>
      </c>
      <c r="S147" s="1">
        <v>0</v>
      </c>
      <c r="T147">
        <f>IF(R147=S147,"相符","不相符")</f>
      </c>
      <c r="U147"/>
      <c r="V147">
        <f>P147*R147</f>
      </c>
      <c r="W147">
        <f>Q147*V147</f>
      </c>
      <c r="X147">
        <v>0</v>
      </c>
      <c r="Y147"/>
      <c r="Z147"/>
      <c r="AA147"/>
      <c r="AB147"/>
      <c r="AC147"/>
      <c r="AD147"/>
    </row>
    <row r="148">
      <c r="A148" t="s">
        <v>30</v>
      </c>
      <c r="B148"/>
      <c r="C148" t="s">
        <v>455</v>
      </c>
      <c r="D148" t="s">
        <v>505</v>
      </c>
      <c r="E148" t="s">
        <v>506</v>
      </c>
      <c r="F148" s="2">
        <v>46282</v>
      </c>
      <c r="G148">
        <v>42</v>
      </c>
      <c r="H148"/>
      <c r="I148"/>
      <c r="J148"/>
      <c r="K148"/>
      <c r="L148"/>
      <c r="M148">
        <v>0</v>
      </c>
      <c r="N148">
        <v>0</v>
      </c>
      <c r="O148"/>
      <c r="P148">
        <v>0</v>
      </c>
      <c r="Q148">
        <f>N148/P148</f>
      </c>
      <c r="R148" s="1">
        <v>0</v>
      </c>
      <c r="S148" s="1">
        <v>0</v>
      </c>
      <c r="T148">
        <f>IF(R148=S148,"相符","不相符")</f>
      </c>
      <c r="U148"/>
      <c r="V148">
        <f>P148*R148</f>
      </c>
      <c r="W148">
        <f>Q148*V148</f>
      </c>
      <c r="X148">
        <v>0</v>
      </c>
      <c r="Y148"/>
      <c r="Z148"/>
      <c r="AA148"/>
      <c r="AB148"/>
      <c r="AC148"/>
      <c r="AD148"/>
    </row>
    <row r="149">
      <c r="A149" t="s">
        <v>30</v>
      </c>
      <c r="B149"/>
      <c r="C149" t="s">
        <v>455</v>
      </c>
      <c r="D149" t="s">
        <v>505</v>
      </c>
      <c r="E149" t="s">
        <v>506</v>
      </c>
      <c r="F149" s="2">
        <v>46282</v>
      </c>
      <c r="G149">
        <v>43</v>
      </c>
      <c r="H149"/>
      <c r="I149"/>
      <c r="J149"/>
      <c r="K149"/>
      <c r="L149"/>
      <c r="M149">
        <v>0</v>
      </c>
      <c r="N149">
        <v>0</v>
      </c>
      <c r="O149"/>
      <c r="P149">
        <v>0</v>
      </c>
      <c r="Q149">
        <f>N149/P149</f>
      </c>
      <c r="R149" s="1">
        <v>0</v>
      </c>
      <c r="S149" s="1">
        <v>0</v>
      </c>
      <c r="T149">
        <f>IF(R149=S149,"相符","不相符")</f>
      </c>
      <c r="U149"/>
      <c r="V149">
        <f>P149*R149</f>
      </c>
      <c r="W149">
        <f>Q149*V149</f>
      </c>
      <c r="X149">
        <v>0</v>
      </c>
      <c r="Y149"/>
      <c r="Z149"/>
      <c r="AA149"/>
      <c r="AB149"/>
      <c r="AC149"/>
      <c r="AD149"/>
    </row>
    <row r="150">
      <c r="A150" t="s">
        <v>30</v>
      </c>
      <c r="B150"/>
      <c r="C150" t="s">
        <v>455</v>
      </c>
      <c r="D150" t="s">
        <v>505</v>
      </c>
      <c r="E150" t="s">
        <v>506</v>
      </c>
      <c r="F150" s="2">
        <v>46282</v>
      </c>
      <c r="G150">
        <v>44</v>
      </c>
      <c r="H150"/>
      <c r="I150"/>
      <c r="J150"/>
      <c r="K150"/>
      <c r="L150"/>
      <c r="M150">
        <v>0</v>
      </c>
      <c r="N150">
        <v>0</v>
      </c>
      <c r="O150"/>
      <c r="P150">
        <v>0</v>
      </c>
      <c r="Q150">
        <f>N150/P150</f>
      </c>
      <c r="R150" s="1">
        <v>0</v>
      </c>
      <c r="S150" s="1">
        <v>0</v>
      </c>
      <c r="T150">
        <f>IF(R150=S150,"相符","不相符")</f>
      </c>
      <c r="U150"/>
      <c r="V150">
        <f>P150*R150</f>
      </c>
      <c r="W150">
        <f>Q150*V150</f>
      </c>
      <c r="X150">
        <v>0</v>
      </c>
      <c r="Y150"/>
      <c r="Z150"/>
      <c r="AA150"/>
      <c r="AB150"/>
      <c r="AC150"/>
      <c r="AD150"/>
    </row>
    <row r="151">
      <c r="A151" t="s">
        <v>30</v>
      </c>
      <c r="B151"/>
      <c r="C151" t="s">
        <v>455</v>
      </c>
      <c r="D151" t="s">
        <v>505</v>
      </c>
      <c r="E151" t="s">
        <v>506</v>
      </c>
      <c r="F151" s="2">
        <v>46282</v>
      </c>
      <c r="G151">
        <v>45</v>
      </c>
      <c r="H151"/>
      <c r="I151"/>
      <c r="J151"/>
      <c r="K151"/>
      <c r="L151"/>
      <c r="M151">
        <v>0</v>
      </c>
      <c r="N151">
        <v>0</v>
      </c>
      <c r="O151"/>
      <c r="P151">
        <v>0</v>
      </c>
      <c r="Q151">
        <f>N151/P151</f>
      </c>
      <c r="R151" s="1">
        <v>0</v>
      </c>
      <c r="S151" s="1">
        <v>0</v>
      </c>
      <c r="T151">
        <f>IF(R151=S151,"相符","不相符")</f>
      </c>
      <c r="U151"/>
      <c r="V151">
        <f>P151*R151</f>
      </c>
      <c r="W151">
        <f>Q151*V151</f>
      </c>
      <c r="X151">
        <v>0</v>
      </c>
      <c r="Y151"/>
      <c r="Z151"/>
      <c r="AA151"/>
      <c r="AB151"/>
      <c r="AC151"/>
      <c r="AD151"/>
    </row>
    <row r="152">
      <c r="A152" t="s">
        <v>30</v>
      </c>
      <c r="B152"/>
      <c r="C152" t="s">
        <v>455</v>
      </c>
      <c r="D152" t="s">
        <v>505</v>
      </c>
      <c r="E152" t="s">
        <v>506</v>
      </c>
      <c r="F152" s="2">
        <v>46282</v>
      </c>
      <c r="G152">
        <v>46</v>
      </c>
      <c r="H152"/>
      <c r="I152"/>
      <c r="J152"/>
      <c r="K152"/>
      <c r="L152"/>
      <c r="M152">
        <v>0</v>
      </c>
      <c r="N152">
        <v>0</v>
      </c>
      <c r="O152"/>
      <c r="P152">
        <v>0</v>
      </c>
      <c r="Q152">
        <f>N152/P152</f>
      </c>
      <c r="R152" s="1">
        <v>0</v>
      </c>
      <c r="S152" s="1">
        <v>0</v>
      </c>
      <c r="T152">
        <f>IF(R152=S152,"相符","不相符")</f>
      </c>
      <c r="U152"/>
      <c r="V152">
        <f>P152*R152</f>
      </c>
      <c r="W152">
        <f>Q152*V152</f>
      </c>
      <c r="X152">
        <v>0</v>
      </c>
      <c r="Y152"/>
      <c r="Z152"/>
      <c r="AA152"/>
      <c r="AB152"/>
      <c r="AC152"/>
      <c r="AD152"/>
    </row>
    <row r="153">
      <c r="A153" t="s">
        <v>30</v>
      </c>
      <c r="B153"/>
      <c r="C153" t="s">
        <v>455</v>
      </c>
      <c r="D153" t="s">
        <v>505</v>
      </c>
      <c r="E153" t="s">
        <v>506</v>
      </c>
      <c r="F153" s="2">
        <v>46282</v>
      </c>
      <c r="G153">
        <v>47</v>
      </c>
      <c r="H153"/>
      <c r="I153"/>
      <c r="J153"/>
      <c r="K153"/>
      <c r="L153"/>
      <c r="M153">
        <v>0</v>
      </c>
      <c r="N153">
        <v>0</v>
      </c>
      <c r="O153"/>
      <c r="P153">
        <v>0</v>
      </c>
      <c r="Q153">
        <f>N153/P153</f>
      </c>
      <c r="R153" s="1">
        <v>0</v>
      </c>
      <c r="S153" s="1">
        <v>0</v>
      </c>
      <c r="T153">
        <f>IF(R153=S153,"相符","不相符")</f>
      </c>
      <c r="U153"/>
      <c r="V153">
        <f>P153*R153</f>
      </c>
      <c r="W153">
        <f>Q153*V153</f>
      </c>
      <c r="X153">
        <v>0</v>
      </c>
      <c r="Y153"/>
      <c r="Z153"/>
      <c r="AA153"/>
      <c r="AB153"/>
      <c r="AC153"/>
      <c r="AD153"/>
    </row>
    <row r="154">
      <c r="A154" t="s">
        <v>30</v>
      </c>
      <c r="B154"/>
      <c r="C154" t="s">
        <v>455</v>
      </c>
      <c r="D154" t="s">
        <v>505</v>
      </c>
      <c r="E154" t="s">
        <v>506</v>
      </c>
      <c r="F154" s="2">
        <v>46282</v>
      </c>
      <c r="G154">
        <v>48</v>
      </c>
      <c r="H154"/>
      <c r="I154"/>
      <c r="J154"/>
      <c r="K154"/>
      <c r="L154"/>
      <c r="M154">
        <v>0</v>
      </c>
      <c r="N154">
        <v>0</v>
      </c>
      <c r="O154"/>
      <c r="P154">
        <v>0</v>
      </c>
      <c r="Q154">
        <f>N154/P154</f>
      </c>
      <c r="R154" s="1">
        <v>0</v>
      </c>
      <c r="S154" s="1">
        <v>0</v>
      </c>
      <c r="T154">
        <f>IF(R154=S154,"相符","不相符")</f>
      </c>
      <c r="U154"/>
      <c r="V154">
        <f>P154*R154</f>
      </c>
      <c r="W154">
        <f>Q154*V154</f>
      </c>
      <c r="X154">
        <v>0</v>
      </c>
      <c r="Y154"/>
      <c r="Z154"/>
      <c r="AA154"/>
      <c r="AB154"/>
      <c r="AC154"/>
      <c r="AD154"/>
    </row>
    <row r="155">
      <c r="A155" t="s">
        <v>30</v>
      </c>
      <c r="B155"/>
      <c r="C155" t="s">
        <v>455</v>
      </c>
      <c r="D155" t="s">
        <v>505</v>
      </c>
      <c r="E155" t="s">
        <v>506</v>
      </c>
      <c r="F155" s="2">
        <v>46282</v>
      </c>
      <c r="G155">
        <v>49</v>
      </c>
      <c r="H155"/>
      <c r="I155"/>
      <c r="J155"/>
      <c r="K155"/>
      <c r="L155"/>
      <c r="M155">
        <v>0</v>
      </c>
      <c r="N155">
        <v>0</v>
      </c>
      <c r="O155"/>
      <c r="P155">
        <v>0</v>
      </c>
      <c r="Q155">
        <f>N155/P155</f>
      </c>
      <c r="R155" s="1">
        <v>0</v>
      </c>
      <c r="S155" s="1">
        <v>0</v>
      </c>
      <c r="T155">
        <f>IF(R155=S155,"相符","不相符")</f>
      </c>
      <c r="U155"/>
      <c r="V155">
        <f>P155*R155</f>
      </c>
      <c r="W155">
        <f>Q155*V155</f>
      </c>
      <c r="X155">
        <v>0</v>
      </c>
      <c r="Y155"/>
      <c r="Z155"/>
      <c r="AA155"/>
      <c r="AB155"/>
      <c r="AC155"/>
      <c r="AD155"/>
    </row>
    <row r="156">
      <c r="A156" t="s">
        <v>30</v>
      </c>
      <c r="B156"/>
      <c r="C156" t="s">
        <v>455</v>
      </c>
      <c r="D156" t="s">
        <v>505</v>
      </c>
      <c r="E156" t="s">
        <v>506</v>
      </c>
      <c r="F156" s="2">
        <v>46282</v>
      </c>
      <c r="G156">
        <v>50</v>
      </c>
      <c r="H156"/>
      <c r="I156"/>
      <c r="J156"/>
      <c r="K156"/>
      <c r="L156"/>
      <c r="M156">
        <v>0</v>
      </c>
      <c r="N156">
        <v>0</v>
      </c>
      <c r="O156"/>
      <c r="P156">
        <v>0</v>
      </c>
      <c r="Q156">
        <f>N156/P156</f>
      </c>
      <c r="R156" s="1">
        <v>0</v>
      </c>
      <c r="S156" s="1">
        <v>0</v>
      </c>
      <c r="T156">
        <f>IF(R156=S156,"相符","不相符")</f>
      </c>
      <c r="U156"/>
      <c r="V156">
        <f>P156*R156</f>
      </c>
      <c r="W156">
        <f>Q156*V156</f>
      </c>
      <c r="X156">
        <v>0</v>
      </c>
      <c r="Y156"/>
      <c r="Z156"/>
      <c r="AA156"/>
      <c r="AB156"/>
      <c r="AC156"/>
      <c r="AD156"/>
    </row>
    <row r="157">
      <c r="A157" t="s">
        <v>30</v>
      </c>
      <c r="B157"/>
      <c r="C157" t="s">
        <v>455</v>
      </c>
      <c r="D157" t="s">
        <v>505</v>
      </c>
      <c r="E157" t="s">
        <v>506</v>
      </c>
      <c r="F157" s="2">
        <v>46282</v>
      </c>
      <c r="G157">
        <v>51</v>
      </c>
      <c r="H157"/>
      <c r="I157"/>
      <c r="J157"/>
      <c r="K157"/>
      <c r="L157"/>
      <c r="M157">
        <v>0</v>
      </c>
      <c r="N157">
        <v>0</v>
      </c>
      <c r="O157"/>
      <c r="P157">
        <v>0</v>
      </c>
      <c r="Q157">
        <f>N157/P157</f>
      </c>
      <c r="R157" s="1">
        <v>0</v>
      </c>
      <c r="S157" s="1">
        <v>0</v>
      </c>
      <c r="T157">
        <f>IF(R157=S157,"相符","不相符")</f>
      </c>
      <c r="U157"/>
      <c r="V157">
        <f>P157*R157</f>
      </c>
      <c r="W157">
        <f>Q157*V157</f>
      </c>
      <c r="X157">
        <v>0</v>
      </c>
      <c r="Y157"/>
      <c r="Z157"/>
      <c r="AA157"/>
      <c r="AB157"/>
      <c r="AC157"/>
      <c r="AD157"/>
    </row>
    <row r="158">
      <c r="A158" t="s">
        <v>30</v>
      </c>
      <c r="B158"/>
      <c r="C158" t="s">
        <v>455</v>
      </c>
      <c r="D158" t="s">
        <v>505</v>
      </c>
      <c r="E158" t="s">
        <v>506</v>
      </c>
      <c r="F158" s="2">
        <v>46282</v>
      </c>
      <c r="G158">
        <v>52</v>
      </c>
      <c r="H158"/>
      <c r="I158"/>
      <c r="J158"/>
      <c r="K158"/>
      <c r="L158"/>
      <c r="M158">
        <v>0</v>
      </c>
      <c r="N158">
        <v>0</v>
      </c>
      <c r="O158"/>
      <c r="P158">
        <v>0</v>
      </c>
      <c r="Q158">
        <f>N158/P158</f>
      </c>
      <c r="R158" s="1">
        <v>0</v>
      </c>
      <c r="S158" s="1">
        <v>0</v>
      </c>
      <c r="T158">
        <f>IF(R158=S158,"相符","不相符")</f>
      </c>
      <c r="U158"/>
      <c r="V158">
        <f>P158*R158</f>
      </c>
      <c r="W158">
        <f>Q158*V158</f>
      </c>
      <c r="X158">
        <v>0</v>
      </c>
      <c r="Y158"/>
      <c r="Z158"/>
      <c r="AA158"/>
      <c r="AB158"/>
      <c r="AC158"/>
      <c r="AD158"/>
    </row>
    <row r="159">
      <c r="A159" t="s">
        <v>30</v>
      </c>
      <c r="B159"/>
      <c r="C159" t="s">
        <v>455</v>
      </c>
      <c r="D159" t="s">
        <v>505</v>
      </c>
      <c r="E159" t="s">
        <v>506</v>
      </c>
      <c r="F159" s="2">
        <v>46282</v>
      </c>
      <c r="G159">
        <v>53</v>
      </c>
      <c r="H159"/>
      <c r="I159"/>
      <c r="J159"/>
      <c r="K159"/>
      <c r="L159"/>
      <c r="M159">
        <v>0</v>
      </c>
      <c r="N159">
        <v>0</v>
      </c>
      <c r="O159"/>
      <c r="P159">
        <v>0</v>
      </c>
      <c r="Q159">
        <f>N159/P159</f>
      </c>
      <c r="R159" s="1">
        <v>0</v>
      </c>
      <c r="S159" s="1">
        <v>0</v>
      </c>
      <c r="T159">
        <f>IF(R159=S159,"相符","不相符")</f>
      </c>
      <c r="U159"/>
      <c r="V159">
        <f>P159*R159</f>
      </c>
      <c r="W159">
        <f>Q159*V159</f>
      </c>
      <c r="X159">
        <v>0</v>
      </c>
      <c r="Y159"/>
      <c r="Z159"/>
      <c r="AA159"/>
      <c r="AB159"/>
      <c r="AC159"/>
      <c r="AD159"/>
    </row>
    <row r="160">
      <c r="A160" t="s">
        <v>30</v>
      </c>
      <c r="B160"/>
      <c r="C160" t="s">
        <v>455</v>
      </c>
      <c r="D160" t="s">
        <v>505</v>
      </c>
      <c r="E160" t="s">
        <v>506</v>
      </c>
      <c r="F160" s="2">
        <v>46282</v>
      </c>
      <c r="G160">
        <v>54</v>
      </c>
      <c r="H160"/>
      <c r="I160"/>
      <c r="J160"/>
      <c r="K160"/>
      <c r="L160"/>
      <c r="M160">
        <v>0</v>
      </c>
      <c r="N160">
        <v>0</v>
      </c>
      <c r="O160"/>
      <c r="P160">
        <v>0</v>
      </c>
      <c r="Q160">
        <f>N160/P160</f>
      </c>
      <c r="R160" s="1">
        <v>0</v>
      </c>
      <c r="S160" s="1">
        <v>0</v>
      </c>
      <c r="T160">
        <f>IF(R160=S160,"相符","不相符")</f>
      </c>
      <c r="U160"/>
      <c r="V160">
        <f>P160*R160</f>
      </c>
      <c r="W160">
        <f>Q160*V160</f>
      </c>
      <c r="X160">
        <v>0</v>
      </c>
      <c r="Y160"/>
      <c r="Z160"/>
      <c r="AA160"/>
      <c r="AB160"/>
      <c r="AC160"/>
      <c r="AD160"/>
    </row>
    <row r="161">
      <c r="A161" t="s">
        <v>30</v>
      </c>
      <c r="B161"/>
      <c r="C161" t="s">
        <v>455</v>
      </c>
      <c r="D161" t="s">
        <v>505</v>
      </c>
      <c r="E161" t="s">
        <v>506</v>
      </c>
      <c r="F161" s="2">
        <v>46282</v>
      </c>
      <c r="G161">
        <v>55</v>
      </c>
      <c r="H161"/>
      <c r="I161"/>
      <c r="J161"/>
      <c r="K161"/>
      <c r="L161"/>
      <c r="M161">
        <v>0</v>
      </c>
      <c r="N161">
        <v>0</v>
      </c>
      <c r="O161"/>
      <c r="P161">
        <v>0</v>
      </c>
      <c r="Q161">
        <f>N161/P161</f>
      </c>
      <c r="R161" s="1">
        <v>0</v>
      </c>
      <c r="S161" s="1">
        <v>0</v>
      </c>
      <c r="T161">
        <f>IF(R161=S161,"相符","不相符")</f>
      </c>
      <c r="U161"/>
      <c r="V161">
        <f>P161*R161</f>
      </c>
      <c r="W161">
        <f>Q161*V161</f>
      </c>
      <c r="X161">
        <v>0</v>
      </c>
      <c r="Y161"/>
      <c r="Z161"/>
      <c r="AA161"/>
      <c r="AB161"/>
      <c r="AC161"/>
      <c r="AD161"/>
    </row>
    <row r="162">
      <c r="A162" t="s">
        <v>30</v>
      </c>
      <c r="B162"/>
      <c r="C162" t="s">
        <v>455</v>
      </c>
      <c r="D162" t="s">
        <v>505</v>
      </c>
      <c r="E162" t="s">
        <v>506</v>
      </c>
      <c r="F162" s="2">
        <v>46282</v>
      </c>
      <c r="G162">
        <v>56</v>
      </c>
      <c r="H162"/>
      <c r="I162"/>
      <c r="J162"/>
      <c r="K162"/>
      <c r="L162"/>
      <c r="M162">
        <v>0</v>
      </c>
      <c r="N162">
        <v>0</v>
      </c>
      <c r="O162"/>
      <c r="P162">
        <v>0</v>
      </c>
      <c r="Q162">
        <f>N162/P162</f>
      </c>
      <c r="R162" s="1">
        <v>0</v>
      </c>
      <c r="S162" s="1">
        <v>0</v>
      </c>
      <c r="T162">
        <f>IF(R162=S162,"相符","不相符")</f>
      </c>
      <c r="U162"/>
      <c r="V162">
        <f>P162*R162</f>
      </c>
      <c r="W162">
        <f>Q162*V162</f>
      </c>
      <c r="X162">
        <v>0</v>
      </c>
      <c r="Y162"/>
      <c r="Z162"/>
      <c r="AA162"/>
      <c r="AB162"/>
      <c r="AC162"/>
      <c r="AD162"/>
    </row>
    <row r="163">
      <c r="A163" t="s">
        <v>30</v>
      </c>
      <c r="B163"/>
      <c r="C163" t="s">
        <v>455</v>
      </c>
      <c r="D163" t="s">
        <v>505</v>
      </c>
      <c r="E163" t="s">
        <v>506</v>
      </c>
      <c r="F163" s="2">
        <v>46282</v>
      </c>
      <c r="G163">
        <v>57</v>
      </c>
      <c r="H163"/>
      <c r="I163"/>
      <c r="J163"/>
      <c r="K163"/>
      <c r="L163"/>
      <c r="M163">
        <v>0</v>
      </c>
      <c r="N163">
        <v>0</v>
      </c>
      <c r="O163"/>
      <c r="P163">
        <v>0</v>
      </c>
      <c r="Q163">
        <f>N163/P163</f>
      </c>
      <c r="R163" s="1">
        <v>0</v>
      </c>
      <c r="S163" s="1">
        <v>0</v>
      </c>
      <c r="T163">
        <f>IF(R163=S163,"相符","不相符")</f>
      </c>
      <c r="U163"/>
      <c r="V163">
        <f>P163*R163</f>
      </c>
      <c r="W163">
        <f>Q163*V163</f>
      </c>
      <c r="X163">
        <v>0</v>
      </c>
      <c r="Y163"/>
      <c r="Z163"/>
      <c r="AA163"/>
      <c r="AB163"/>
      <c r="AC163"/>
      <c r="AD163"/>
    </row>
    <row r="164">
      <c r="A164" t="s">
        <v>30</v>
      </c>
      <c r="B164"/>
      <c r="C164" t="s">
        <v>455</v>
      </c>
      <c r="D164" t="s">
        <v>505</v>
      </c>
      <c r="E164" t="s">
        <v>506</v>
      </c>
      <c r="F164" s="2">
        <v>46282</v>
      </c>
      <c r="G164">
        <v>58</v>
      </c>
      <c r="H164"/>
      <c r="I164"/>
      <c r="J164"/>
      <c r="K164"/>
      <c r="L164"/>
      <c r="M164">
        <v>0</v>
      </c>
      <c r="N164">
        <v>0</v>
      </c>
      <c r="O164"/>
      <c r="P164">
        <v>0</v>
      </c>
      <c r="Q164">
        <f>N164/P164</f>
      </c>
      <c r="R164" s="1">
        <v>0</v>
      </c>
      <c r="S164" s="1">
        <v>0</v>
      </c>
      <c r="T164">
        <f>IF(R164=S164,"相符","不相符")</f>
      </c>
      <c r="U164"/>
      <c r="V164">
        <f>P164*R164</f>
      </c>
      <c r="W164">
        <f>Q164*V164</f>
      </c>
      <c r="X164">
        <v>0</v>
      </c>
      <c r="Y164"/>
      <c r="Z164"/>
      <c r="AA164"/>
      <c r="AB164"/>
      <c r="AC164"/>
      <c r="AD164"/>
    </row>
    <row r="165">
      <c r="A165" t="s">
        <v>30</v>
      </c>
      <c r="B165"/>
      <c r="C165" t="s">
        <v>455</v>
      </c>
      <c r="D165" t="s">
        <v>505</v>
      </c>
      <c r="E165" t="s">
        <v>506</v>
      </c>
      <c r="F165" s="2">
        <v>46282</v>
      </c>
      <c r="G165">
        <v>59</v>
      </c>
      <c r="H165"/>
      <c r="I165"/>
      <c r="J165"/>
      <c r="K165"/>
      <c r="L165"/>
      <c r="M165">
        <v>0</v>
      </c>
      <c r="N165">
        <v>0</v>
      </c>
      <c r="O165"/>
      <c r="P165">
        <v>0</v>
      </c>
      <c r="Q165">
        <f>N165/P165</f>
      </c>
      <c r="R165" s="1">
        <v>0</v>
      </c>
      <c r="S165" s="1">
        <v>0</v>
      </c>
      <c r="T165">
        <f>IF(R165=S165,"相符","不相符")</f>
      </c>
      <c r="U165"/>
      <c r="V165">
        <f>P165*R165</f>
      </c>
      <c r="W165">
        <f>Q165*V165</f>
      </c>
      <c r="X165">
        <v>0</v>
      </c>
      <c r="Y165"/>
      <c r="Z165"/>
      <c r="AA165"/>
      <c r="AB165"/>
      <c r="AC165"/>
      <c r="AD165"/>
    </row>
    <row r="166">
      <c r="A166" t="s">
        <v>30</v>
      </c>
      <c r="B166"/>
      <c r="C166" t="s">
        <v>455</v>
      </c>
      <c r="D166" t="s">
        <v>505</v>
      </c>
      <c r="E166" t="s">
        <v>506</v>
      </c>
      <c r="F166" s="2">
        <v>46282</v>
      </c>
      <c r="G166">
        <v>60</v>
      </c>
      <c r="H166"/>
      <c r="I166"/>
      <c r="J166"/>
      <c r="K166"/>
      <c r="L166"/>
      <c r="M166">
        <v>0</v>
      </c>
      <c r="N166">
        <v>0</v>
      </c>
      <c r="O166"/>
      <c r="P166">
        <v>0</v>
      </c>
      <c r="Q166">
        <f>N166/P166</f>
      </c>
      <c r="R166" s="1">
        <v>0</v>
      </c>
      <c r="S166" s="1">
        <v>0</v>
      </c>
      <c r="T166">
        <f>IF(R166=S166,"相符","不相符")</f>
      </c>
      <c r="U166"/>
      <c r="V166">
        <f>P166*R166</f>
      </c>
      <c r="W166">
        <f>Q166*V166</f>
      </c>
      <c r="X166">
        <v>0</v>
      </c>
      <c r="Y166"/>
      <c r="Z166"/>
      <c r="AA166"/>
      <c r="AB166"/>
      <c r="AC166"/>
      <c r="AD166"/>
    </row>
    <row r="167">
      <c r="A167" t="s">
        <v>30</v>
      </c>
      <c r="B167"/>
      <c r="C167" t="s">
        <v>455</v>
      </c>
      <c r="D167" t="s">
        <v>505</v>
      </c>
      <c r="E167" t="s">
        <v>506</v>
      </c>
      <c r="F167" s="2">
        <v>46282</v>
      </c>
      <c r="G167">
        <v>61</v>
      </c>
      <c r="H167"/>
      <c r="I167"/>
      <c r="J167"/>
      <c r="K167"/>
      <c r="L167"/>
      <c r="M167">
        <v>0</v>
      </c>
      <c r="N167">
        <v>0</v>
      </c>
      <c r="O167"/>
      <c r="P167">
        <v>0</v>
      </c>
      <c r="Q167">
        <f>N167/P167</f>
      </c>
      <c r="R167" s="1">
        <v>0</v>
      </c>
      <c r="S167" s="1">
        <v>0</v>
      </c>
      <c r="T167">
        <f>IF(R167=S167,"相符","不相符")</f>
      </c>
      <c r="U167"/>
      <c r="V167">
        <f>P167*R167</f>
      </c>
      <c r="W167">
        <f>Q167*V167</f>
      </c>
      <c r="X167">
        <v>0</v>
      </c>
      <c r="Y167"/>
      <c r="Z167"/>
      <c r="AA167"/>
      <c r="AB167"/>
      <c r="AC167"/>
      <c r="AD167"/>
    </row>
    <row r="168">
      <c r="A168" t="s">
        <v>30</v>
      </c>
      <c r="B168"/>
      <c r="C168" t="s">
        <v>455</v>
      </c>
      <c r="D168" t="s">
        <v>505</v>
      </c>
      <c r="E168" t="s">
        <v>506</v>
      </c>
      <c r="F168" s="2">
        <v>46282</v>
      </c>
      <c r="G168">
        <v>62</v>
      </c>
      <c r="H168"/>
      <c r="I168"/>
      <c r="J168"/>
      <c r="K168"/>
      <c r="L168"/>
      <c r="M168">
        <v>0</v>
      </c>
      <c r="N168">
        <v>0</v>
      </c>
      <c r="O168"/>
      <c r="P168">
        <v>0</v>
      </c>
      <c r="Q168">
        <f>N168/P168</f>
      </c>
      <c r="R168" s="1">
        <v>0</v>
      </c>
      <c r="S168" s="1">
        <v>0</v>
      </c>
      <c r="T168">
        <f>IF(R168=S168,"相符","不相符")</f>
      </c>
      <c r="U168"/>
      <c r="V168">
        <f>P168*R168</f>
      </c>
      <c r="W168">
        <f>Q168*V168</f>
      </c>
      <c r="X168">
        <v>0</v>
      </c>
      <c r="Y168"/>
      <c r="Z168"/>
      <c r="AA168"/>
      <c r="AB168"/>
      <c r="AC168"/>
      <c r="AD168"/>
    </row>
    <row r="169">
      <c r="A169" t="s">
        <v>30</v>
      </c>
      <c r="B169"/>
      <c r="C169" t="s">
        <v>455</v>
      </c>
      <c r="D169" t="s">
        <v>505</v>
      </c>
      <c r="E169" t="s">
        <v>506</v>
      </c>
      <c r="F169" s="2">
        <v>46282</v>
      </c>
      <c r="G169">
        <v>63</v>
      </c>
      <c r="H169"/>
      <c r="I169"/>
      <c r="J169"/>
      <c r="K169"/>
      <c r="L169"/>
      <c r="M169">
        <v>0</v>
      </c>
      <c r="N169">
        <v>0</v>
      </c>
      <c r="O169"/>
      <c r="P169">
        <v>0</v>
      </c>
      <c r="Q169">
        <f>N169/P169</f>
      </c>
      <c r="R169" s="1">
        <v>0</v>
      </c>
      <c r="S169" s="1">
        <v>0</v>
      </c>
      <c r="T169">
        <f>IF(R169=S169,"相符","不相符")</f>
      </c>
      <c r="U169"/>
      <c r="V169">
        <f>P169*R169</f>
      </c>
      <c r="W169">
        <f>Q169*V169</f>
      </c>
      <c r="X169">
        <v>0</v>
      </c>
      <c r="Y169"/>
      <c r="Z169"/>
      <c r="AA169"/>
      <c r="AB169"/>
      <c r="AC169"/>
      <c r="AD169"/>
    </row>
    <row r="170">
      <c r="A170" t="s">
        <v>30</v>
      </c>
      <c r="B170"/>
      <c r="C170" t="s">
        <v>455</v>
      </c>
      <c r="D170" t="s">
        <v>505</v>
      </c>
      <c r="E170" t="s">
        <v>506</v>
      </c>
      <c r="F170" s="2">
        <v>46282</v>
      </c>
      <c r="G170">
        <v>64</v>
      </c>
      <c r="H170"/>
      <c r="I170"/>
      <c r="J170"/>
      <c r="K170"/>
      <c r="L170"/>
      <c r="M170">
        <v>0</v>
      </c>
      <c r="N170">
        <v>0</v>
      </c>
      <c r="O170"/>
      <c r="P170">
        <v>0</v>
      </c>
      <c r="Q170">
        <f>N170/P170</f>
      </c>
      <c r="R170" s="1">
        <v>0</v>
      </c>
      <c r="S170" s="1">
        <v>0</v>
      </c>
      <c r="T170">
        <f>IF(R170=S170,"相符","不相符")</f>
      </c>
      <c r="U170"/>
      <c r="V170">
        <f>P170*R170</f>
      </c>
      <c r="W170">
        <f>Q170*V170</f>
      </c>
      <c r="X170">
        <v>0</v>
      </c>
      <c r="Y170"/>
      <c r="Z170"/>
      <c r="AA170"/>
      <c r="AB170"/>
      <c r="AC170"/>
      <c r="AD170"/>
    </row>
    <row r="171">
      <c r="A171" t="s">
        <v>30</v>
      </c>
      <c r="B171"/>
      <c r="C171" t="s">
        <v>455</v>
      </c>
      <c r="D171" t="s">
        <v>505</v>
      </c>
      <c r="E171" t="s">
        <v>506</v>
      </c>
      <c r="F171" s="2">
        <v>46282</v>
      </c>
      <c r="G171">
        <v>65</v>
      </c>
      <c r="H171"/>
      <c r="I171"/>
      <c r="J171"/>
      <c r="K171"/>
      <c r="L171"/>
      <c r="M171">
        <v>0</v>
      </c>
      <c r="N171">
        <v>0</v>
      </c>
      <c r="O171"/>
      <c r="P171">
        <v>0</v>
      </c>
      <c r="Q171">
        <f>N171/P171</f>
      </c>
      <c r="R171" s="1">
        <v>0</v>
      </c>
      <c r="S171" s="1">
        <v>0</v>
      </c>
      <c r="T171">
        <f>IF(R171=S171,"相符","不相符")</f>
      </c>
      <c r="U171"/>
      <c r="V171">
        <f>P171*R171</f>
      </c>
      <c r="W171">
        <f>Q171*V171</f>
      </c>
      <c r="X171">
        <v>0</v>
      </c>
      <c r="Y171"/>
      <c r="Z171"/>
      <c r="AA171"/>
      <c r="AB171"/>
      <c r="AC171"/>
      <c r="AD171"/>
    </row>
    <row r="172">
      <c r="A172" t="s">
        <v>30</v>
      </c>
      <c r="B172"/>
      <c r="C172" t="s">
        <v>455</v>
      </c>
      <c r="D172" t="s">
        <v>505</v>
      </c>
      <c r="E172" t="s">
        <v>506</v>
      </c>
      <c r="F172" s="2">
        <v>46282</v>
      </c>
      <c r="G172">
        <v>66</v>
      </c>
      <c r="H172"/>
      <c r="I172"/>
      <c r="J172"/>
      <c r="K172"/>
      <c r="L172"/>
      <c r="M172">
        <v>0</v>
      </c>
      <c r="N172">
        <v>0</v>
      </c>
      <c r="O172"/>
      <c r="P172">
        <v>0</v>
      </c>
      <c r="Q172">
        <f>N172/P172</f>
      </c>
      <c r="R172" s="1">
        <v>0</v>
      </c>
      <c r="S172" s="1">
        <v>0</v>
      </c>
      <c r="T172">
        <f>IF(R172=S172,"相符","不相符")</f>
      </c>
      <c r="U172"/>
      <c r="V172">
        <f>P172*R172</f>
      </c>
      <c r="W172">
        <f>Q172*V172</f>
      </c>
      <c r="X172">
        <v>0</v>
      </c>
      <c r="Y172"/>
      <c r="Z172"/>
      <c r="AA172"/>
      <c r="AB172"/>
      <c r="AC172"/>
      <c r="AD172"/>
    </row>
    <row r="173">
      <c r="A173" t="s">
        <v>30</v>
      </c>
      <c r="B173"/>
      <c r="C173" t="s">
        <v>455</v>
      </c>
      <c r="D173" t="s">
        <v>505</v>
      </c>
      <c r="E173" t="s">
        <v>506</v>
      </c>
      <c r="F173" s="2">
        <v>46282</v>
      </c>
      <c r="G173">
        <v>67</v>
      </c>
      <c r="H173"/>
      <c r="I173"/>
      <c r="J173"/>
      <c r="K173"/>
      <c r="L173"/>
      <c r="M173">
        <v>0</v>
      </c>
      <c r="N173">
        <v>0</v>
      </c>
      <c r="O173"/>
      <c r="P173">
        <v>0</v>
      </c>
      <c r="Q173">
        <f>N173/P173</f>
      </c>
      <c r="R173" s="1">
        <v>0</v>
      </c>
      <c r="S173" s="1">
        <v>0</v>
      </c>
      <c r="T173">
        <f>IF(R173=S173,"相符","不相符")</f>
      </c>
      <c r="U173"/>
      <c r="V173">
        <f>P173*R173</f>
      </c>
      <c r="W173">
        <f>Q173*V173</f>
      </c>
      <c r="X173">
        <v>0</v>
      </c>
      <c r="Y173"/>
      <c r="Z173"/>
      <c r="AA173"/>
      <c r="AB173"/>
      <c r="AC173"/>
      <c r="AD173"/>
    </row>
    <row r="174">
      <c r="A174" t="s">
        <v>30</v>
      </c>
      <c r="B174"/>
      <c r="C174" t="s">
        <v>455</v>
      </c>
      <c r="D174" t="s">
        <v>505</v>
      </c>
      <c r="E174" t="s">
        <v>506</v>
      </c>
      <c r="F174" s="2">
        <v>46282</v>
      </c>
      <c r="G174">
        <v>68</v>
      </c>
      <c r="H174"/>
      <c r="I174"/>
      <c r="J174"/>
      <c r="K174"/>
      <c r="L174"/>
      <c r="M174">
        <v>0</v>
      </c>
      <c r="N174">
        <v>0</v>
      </c>
      <c r="O174"/>
      <c r="P174">
        <v>0</v>
      </c>
      <c r="Q174">
        <f>N174/P174</f>
      </c>
      <c r="R174" s="1">
        <v>0</v>
      </c>
      <c r="S174" s="1">
        <v>0</v>
      </c>
      <c r="T174">
        <f>IF(R174=S174,"相符","不相符")</f>
      </c>
      <c r="U174"/>
      <c r="V174">
        <f>P174*R174</f>
      </c>
      <c r="W174">
        <f>Q174*V174</f>
      </c>
      <c r="X174">
        <v>0</v>
      </c>
      <c r="Y174"/>
      <c r="Z174"/>
      <c r="AA174"/>
      <c r="AB174"/>
      <c r="AC174"/>
      <c r="AD174"/>
    </row>
    <row r="175">
      <c r="A175" t="s">
        <v>30</v>
      </c>
      <c r="B175"/>
      <c r="C175" t="s">
        <v>455</v>
      </c>
      <c r="D175" t="s">
        <v>505</v>
      </c>
      <c r="E175" t="s">
        <v>506</v>
      </c>
      <c r="F175" s="2">
        <v>46282</v>
      </c>
      <c r="G175">
        <v>69</v>
      </c>
      <c r="H175"/>
      <c r="I175"/>
      <c r="J175"/>
      <c r="K175"/>
      <c r="L175"/>
      <c r="M175">
        <v>0</v>
      </c>
      <c r="N175">
        <v>0</v>
      </c>
      <c r="O175"/>
      <c r="P175">
        <v>0</v>
      </c>
      <c r="Q175">
        <f>N175/P175</f>
      </c>
      <c r="R175" s="1">
        <v>0</v>
      </c>
      <c r="S175" s="1">
        <v>0</v>
      </c>
      <c r="T175">
        <f>IF(R175=S175,"相符","不相符")</f>
      </c>
      <c r="U175"/>
      <c r="V175">
        <f>P175*R175</f>
      </c>
      <c r="W175">
        <f>Q175*V175</f>
      </c>
      <c r="X175">
        <v>0</v>
      </c>
      <c r="Y175"/>
      <c r="Z175"/>
      <c r="AA175"/>
      <c r="AB175"/>
      <c r="AC175"/>
      <c r="AD175"/>
    </row>
    <row r="176">
      <c r="A176" t="s">
        <v>30</v>
      </c>
      <c r="B176"/>
      <c r="C176" t="s">
        <v>455</v>
      </c>
      <c r="D176" t="s">
        <v>505</v>
      </c>
      <c r="E176" t="s">
        <v>506</v>
      </c>
      <c r="F176" s="2">
        <v>46282</v>
      </c>
      <c r="G176">
        <v>70</v>
      </c>
      <c r="H176"/>
      <c r="I176"/>
      <c r="J176"/>
      <c r="K176"/>
      <c r="L176"/>
      <c r="M176">
        <v>0</v>
      </c>
      <c r="N176">
        <v>0</v>
      </c>
      <c r="O176"/>
      <c r="P176">
        <v>0</v>
      </c>
      <c r="Q176">
        <f>N176/P176</f>
      </c>
      <c r="R176" s="1">
        <v>0</v>
      </c>
      <c r="S176" s="1">
        <v>0</v>
      </c>
      <c r="T176">
        <f>IF(R176=S176,"相符","不相符")</f>
      </c>
      <c r="U176"/>
      <c r="V176">
        <f>P176*R176</f>
      </c>
      <c r="W176">
        <f>Q176*V176</f>
      </c>
      <c r="X176">
        <v>0</v>
      </c>
      <c r="Y176"/>
      <c r="Z176"/>
      <c r="AA176"/>
      <c r="AB176"/>
      <c r="AC176"/>
      <c r="AD176"/>
    </row>
    <row r="177">
      <c r="A177" t="s">
        <v>30</v>
      </c>
      <c r="B177"/>
      <c r="C177" t="s">
        <v>455</v>
      </c>
      <c r="D177" t="s">
        <v>505</v>
      </c>
      <c r="E177" t="s">
        <v>506</v>
      </c>
      <c r="F177" s="2">
        <v>46282</v>
      </c>
      <c r="G177">
        <v>71</v>
      </c>
      <c r="H177"/>
      <c r="I177"/>
      <c r="J177"/>
      <c r="K177"/>
      <c r="L177"/>
      <c r="M177">
        <v>0</v>
      </c>
      <c r="N177">
        <v>0</v>
      </c>
      <c r="O177"/>
      <c r="P177">
        <v>0</v>
      </c>
      <c r="Q177">
        <f>N177/P177</f>
      </c>
      <c r="R177" s="1">
        <v>0</v>
      </c>
      <c r="S177" s="1">
        <v>0</v>
      </c>
      <c r="T177">
        <f>IF(R177=S177,"相符","不相符")</f>
      </c>
      <c r="U177"/>
      <c r="V177">
        <f>P177*R177</f>
      </c>
      <c r="W177">
        <f>Q177*V177</f>
      </c>
      <c r="X177">
        <v>0</v>
      </c>
      <c r="Y177"/>
      <c r="Z177"/>
      <c r="AA177"/>
      <c r="AB177"/>
      <c r="AC177"/>
      <c r="AD177"/>
    </row>
    <row r="178">
      <c r="A178" t="s">
        <v>30</v>
      </c>
      <c r="B178"/>
      <c r="C178" t="s">
        <v>455</v>
      </c>
      <c r="D178" t="s">
        <v>505</v>
      </c>
      <c r="E178" t="s">
        <v>506</v>
      </c>
      <c r="F178" s="2">
        <v>46282</v>
      </c>
      <c r="G178">
        <v>72</v>
      </c>
      <c r="H178"/>
      <c r="I178"/>
      <c r="J178"/>
      <c r="K178"/>
      <c r="L178"/>
      <c r="M178">
        <v>0</v>
      </c>
      <c r="N178">
        <v>0</v>
      </c>
      <c r="O178"/>
      <c r="P178">
        <v>0</v>
      </c>
      <c r="Q178">
        <f>N178/P178</f>
      </c>
      <c r="R178" s="1">
        <v>0</v>
      </c>
      <c r="S178" s="1">
        <v>0</v>
      </c>
      <c r="T178">
        <f>IF(R178=S178,"相符","不相符")</f>
      </c>
      <c r="U178"/>
      <c r="V178">
        <f>P178*R178</f>
      </c>
      <c r="W178">
        <f>Q178*V178</f>
      </c>
      <c r="X178">
        <v>0</v>
      </c>
      <c r="Y178"/>
      <c r="Z178"/>
      <c r="AA178"/>
      <c r="AB178"/>
      <c r="AC178"/>
      <c r="AD178"/>
    </row>
    <row r="179">
      <c r="A179" t="s">
        <v>30</v>
      </c>
      <c r="B179"/>
      <c r="C179" t="s">
        <v>455</v>
      </c>
      <c r="D179" t="s">
        <v>505</v>
      </c>
      <c r="E179" t="s">
        <v>506</v>
      </c>
      <c r="F179" s="2">
        <v>46282</v>
      </c>
      <c r="G179">
        <v>73</v>
      </c>
      <c r="H179"/>
      <c r="I179"/>
      <c r="J179"/>
      <c r="K179"/>
      <c r="L179"/>
      <c r="M179">
        <v>0</v>
      </c>
      <c r="N179">
        <v>0</v>
      </c>
      <c r="O179"/>
      <c r="P179">
        <v>0</v>
      </c>
      <c r="Q179">
        <f>N179/P179</f>
      </c>
      <c r="R179" s="1">
        <v>0</v>
      </c>
      <c r="S179" s="1">
        <v>0</v>
      </c>
      <c r="T179">
        <f>IF(R179=S179,"相符","不相符")</f>
      </c>
      <c r="U179"/>
      <c r="V179">
        <f>P179*R179</f>
      </c>
      <c r="W179">
        <f>Q179*V179</f>
      </c>
      <c r="X179">
        <v>0</v>
      </c>
      <c r="Y179"/>
      <c r="Z179"/>
      <c r="AA179"/>
      <c r="AB179"/>
      <c r="AC179"/>
      <c r="AD179"/>
    </row>
    <row r="180">
      <c r="A180" t="s">
        <v>30</v>
      </c>
      <c r="B180"/>
      <c r="C180" t="s">
        <v>455</v>
      </c>
      <c r="D180" t="s">
        <v>505</v>
      </c>
      <c r="E180" t="s">
        <v>506</v>
      </c>
      <c r="F180" s="2">
        <v>46282</v>
      </c>
      <c r="G180">
        <v>74</v>
      </c>
      <c r="H180"/>
      <c r="I180"/>
      <c r="J180"/>
      <c r="K180"/>
      <c r="L180"/>
      <c r="M180">
        <v>0</v>
      </c>
      <c r="N180">
        <v>0</v>
      </c>
      <c r="O180"/>
      <c r="P180">
        <v>0</v>
      </c>
      <c r="Q180">
        <f>N180/P180</f>
      </c>
      <c r="R180" s="1">
        <v>0</v>
      </c>
      <c r="S180" s="1">
        <v>0</v>
      </c>
      <c r="T180">
        <f>IF(R180=S180,"相符","不相符")</f>
      </c>
      <c r="U180"/>
      <c r="V180">
        <f>P180*R180</f>
      </c>
      <c r="W180">
        <f>Q180*V180</f>
      </c>
      <c r="X180">
        <v>0</v>
      </c>
      <c r="Y180"/>
      <c r="Z180"/>
      <c r="AA180"/>
      <c r="AB180"/>
      <c r="AC180"/>
      <c r="AD180"/>
    </row>
    <row r="181">
      <c r="A181" t="s">
        <v>30</v>
      </c>
      <c r="B181"/>
      <c r="C181" t="s">
        <v>455</v>
      </c>
      <c r="D181" t="s">
        <v>505</v>
      </c>
      <c r="E181" t="s">
        <v>506</v>
      </c>
      <c r="F181" s="2">
        <v>46282</v>
      </c>
      <c r="G181">
        <v>75</v>
      </c>
      <c r="H181"/>
      <c r="I181"/>
      <c r="J181"/>
      <c r="K181"/>
      <c r="L181"/>
      <c r="M181">
        <v>0</v>
      </c>
      <c r="N181">
        <v>0</v>
      </c>
      <c r="O181"/>
      <c r="P181">
        <v>0</v>
      </c>
      <c r="Q181">
        <f>N181/P181</f>
      </c>
      <c r="R181" s="1">
        <v>0</v>
      </c>
      <c r="S181" s="1">
        <v>0</v>
      </c>
      <c r="T181">
        <f>IF(R181=S181,"相符","不相符")</f>
      </c>
      <c r="U181"/>
      <c r="V181">
        <f>P181*R181</f>
      </c>
      <c r="W181">
        <f>Q181*V181</f>
      </c>
      <c r="X181">
        <v>0</v>
      </c>
      <c r="Y181"/>
      <c r="Z181"/>
      <c r="AA181"/>
      <c r="AB181"/>
      <c r="AC181"/>
      <c r="AD181"/>
    </row>
    <row r="182">
      <c r="A182" t="s">
        <v>30</v>
      </c>
      <c r="B182"/>
      <c r="C182" t="s">
        <v>455</v>
      </c>
      <c r="D182" t="s">
        <v>505</v>
      </c>
      <c r="E182" t="s">
        <v>506</v>
      </c>
      <c r="F182" s="2">
        <v>46282</v>
      </c>
      <c r="G182">
        <v>76</v>
      </c>
      <c r="H182"/>
      <c r="I182"/>
      <c r="J182"/>
      <c r="K182"/>
      <c r="L182"/>
      <c r="M182">
        <v>0</v>
      </c>
      <c r="N182">
        <v>0</v>
      </c>
      <c r="O182"/>
      <c r="P182">
        <v>0</v>
      </c>
      <c r="Q182">
        <f>N182/P182</f>
      </c>
      <c r="R182" s="1">
        <v>0</v>
      </c>
      <c r="S182" s="1">
        <v>0</v>
      </c>
      <c r="T182">
        <f>IF(R182=S182,"相符","不相符")</f>
      </c>
      <c r="U182"/>
      <c r="V182">
        <f>P182*R182</f>
      </c>
      <c r="W182">
        <f>Q182*V182</f>
      </c>
      <c r="X182">
        <v>0</v>
      </c>
      <c r="Y182"/>
      <c r="Z182"/>
      <c r="AA182"/>
      <c r="AB182"/>
      <c r="AC182"/>
      <c r="AD182"/>
    </row>
    <row r="183">
      <c r="A183" t="s">
        <v>30</v>
      </c>
      <c r="B183"/>
      <c r="C183" t="s">
        <v>455</v>
      </c>
      <c r="D183" t="s">
        <v>505</v>
      </c>
      <c r="E183" t="s">
        <v>506</v>
      </c>
      <c r="F183" s="2">
        <v>46282</v>
      </c>
      <c r="G183">
        <v>77</v>
      </c>
      <c r="H183"/>
      <c r="I183"/>
      <c r="J183"/>
      <c r="K183"/>
      <c r="L183"/>
      <c r="M183">
        <v>0</v>
      </c>
      <c r="N183">
        <v>0</v>
      </c>
      <c r="O183"/>
      <c r="P183">
        <v>0</v>
      </c>
      <c r="Q183">
        <f>N183/P183</f>
      </c>
      <c r="R183" s="1">
        <v>0</v>
      </c>
      <c r="S183" s="1">
        <v>0</v>
      </c>
      <c r="T183">
        <f>IF(R183=S183,"相符","不相符")</f>
      </c>
      <c r="U183"/>
      <c r="V183">
        <f>P183*R183</f>
      </c>
      <c r="W183">
        <f>Q183*V183</f>
      </c>
      <c r="X183">
        <v>0</v>
      </c>
      <c r="Y183"/>
      <c r="Z183"/>
      <c r="AA183"/>
      <c r="AB183"/>
      <c r="AC183"/>
      <c r="AD183"/>
    </row>
    <row r="184">
      <c r="A184" t="s">
        <v>30</v>
      </c>
      <c r="B184"/>
      <c r="C184" t="s">
        <v>455</v>
      </c>
      <c r="D184" t="s">
        <v>505</v>
      </c>
      <c r="E184" t="s">
        <v>506</v>
      </c>
      <c r="F184" s="2">
        <v>46282</v>
      </c>
      <c r="G184">
        <v>78</v>
      </c>
      <c r="H184"/>
      <c r="I184"/>
      <c r="J184"/>
      <c r="K184"/>
      <c r="L184"/>
      <c r="M184">
        <v>0</v>
      </c>
      <c r="N184">
        <v>0</v>
      </c>
      <c r="O184"/>
      <c r="P184">
        <v>0</v>
      </c>
      <c r="Q184">
        <f>N184/P184</f>
      </c>
      <c r="R184" s="1">
        <v>0</v>
      </c>
      <c r="S184" s="1">
        <v>0</v>
      </c>
      <c r="T184">
        <f>IF(R184=S184,"相符","不相符")</f>
      </c>
      <c r="U184"/>
      <c r="V184">
        <f>P184*R184</f>
      </c>
      <c r="W184">
        <f>Q184*V184</f>
      </c>
      <c r="X184">
        <v>0</v>
      </c>
      <c r="Y184"/>
      <c r="Z184"/>
      <c r="AA184"/>
      <c r="AB184"/>
      <c r="AC184"/>
      <c r="AD184"/>
    </row>
    <row r="185">
      <c r="A185" t="s">
        <v>30</v>
      </c>
      <c r="B185"/>
      <c r="C185" t="s">
        <v>455</v>
      </c>
      <c r="D185" t="s">
        <v>505</v>
      </c>
      <c r="E185" t="s">
        <v>506</v>
      </c>
      <c r="F185" s="2">
        <v>46282</v>
      </c>
      <c r="G185">
        <v>79</v>
      </c>
      <c r="H185"/>
      <c r="I185"/>
      <c r="J185"/>
      <c r="K185"/>
      <c r="L185"/>
      <c r="M185">
        <v>0</v>
      </c>
      <c r="N185">
        <v>0</v>
      </c>
      <c r="O185"/>
      <c r="P185">
        <v>0</v>
      </c>
      <c r="Q185">
        <f>N185/P185</f>
      </c>
      <c r="R185" s="1">
        <v>0</v>
      </c>
      <c r="S185" s="1">
        <v>0</v>
      </c>
      <c r="T185">
        <f>IF(R185=S185,"相符","不相符")</f>
      </c>
      <c r="U185"/>
      <c r="V185">
        <f>P185*R185</f>
      </c>
      <c r="W185">
        <f>Q185*V185</f>
      </c>
      <c r="X185">
        <v>0</v>
      </c>
      <c r="Y185"/>
      <c r="Z185"/>
      <c r="AA185"/>
      <c r="AB185"/>
      <c r="AC185"/>
      <c r="AD185"/>
    </row>
    <row r="186">
      <c r="A186" t="s">
        <v>30</v>
      </c>
      <c r="B186"/>
      <c r="C186" t="s">
        <v>455</v>
      </c>
      <c r="D186" t="s">
        <v>505</v>
      </c>
      <c r="E186" t="s">
        <v>506</v>
      </c>
      <c r="F186" s="2">
        <v>46282</v>
      </c>
      <c r="G186">
        <v>80</v>
      </c>
      <c r="H186"/>
      <c r="I186"/>
      <c r="J186"/>
      <c r="K186"/>
      <c r="L186"/>
      <c r="M186">
        <v>0</v>
      </c>
      <c r="N186">
        <v>0</v>
      </c>
      <c r="O186"/>
      <c r="P186">
        <v>0</v>
      </c>
      <c r="Q186">
        <f>N186/P186</f>
      </c>
      <c r="R186" s="1">
        <v>0</v>
      </c>
      <c r="S186" s="1">
        <v>0</v>
      </c>
      <c r="T186">
        <f>IF(R186=S186,"相符","不相符")</f>
      </c>
      <c r="U186"/>
      <c r="V186">
        <f>P186*R186</f>
      </c>
      <c r="W186">
        <f>Q186*V186</f>
      </c>
      <c r="X186">
        <v>0</v>
      </c>
      <c r="Y186"/>
      <c r="Z186"/>
      <c r="AA186"/>
      <c r="AB186"/>
      <c r="AC186"/>
      <c r="AD186"/>
    </row>
    <row r="187">
      <c r="A187" t="s">
        <v>30</v>
      </c>
      <c r="B187"/>
      <c r="C187" t="s">
        <v>455</v>
      </c>
      <c r="D187" t="s">
        <v>505</v>
      </c>
      <c r="E187" t="s">
        <v>506</v>
      </c>
      <c r="F187" s="2">
        <v>46282</v>
      </c>
      <c r="G187">
        <v>81</v>
      </c>
      <c r="H187"/>
      <c r="I187"/>
      <c r="J187"/>
      <c r="K187"/>
      <c r="L187"/>
      <c r="M187">
        <v>0</v>
      </c>
      <c r="N187">
        <v>0</v>
      </c>
      <c r="O187"/>
      <c r="P187">
        <v>0</v>
      </c>
      <c r="Q187">
        <f>N187/P187</f>
      </c>
      <c r="R187" s="1">
        <v>0</v>
      </c>
      <c r="S187" s="1">
        <v>0</v>
      </c>
      <c r="T187">
        <f>IF(R187=S187,"相符","不相符")</f>
      </c>
      <c r="U187"/>
      <c r="V187">
        <f>P187*R187</f>
      </c>
      <c r="W187">
        <f>Q187*V187</f>
      </c>
      <c r="X187">
        <v>0</v>
      </c>
      <c r="Y187"/>
      <c r="Z187"/>
      <c r="AA187"/>
      <c r="AB187"/>
      <c r="AC187"/>
      <c r="AD187"/>
    </row>
    <row r="188">
      <c r="A188" t="s">
        <v>30</v>
      </c>
      <c r="B188"/>
      <c r="C188" t="s">
        <v>455</v>
      </c>
      <c r="D188" t="s">
        <v>505</v>
      </c>
      <c r="E188" t="s">
        <v>506</v>
      </c>
      <c r="F188" s="2">
        <v>46282</v>
      </c>
      <c r="G188">
        <v>82</v>
      </c>
      <c r="H188"/>
      <c r="I188"/>
      <c r="J188"/>
      <c r="K188"/>
      <c r="L188"/>
      <c r="M188">
        <v>0</v>
      </c>
      <c r="N188">
        <v>0</v>
      </c>
      <c r="O188"/>
      <c r="P188">
        <v>0</v>
      </c>
      <c r="Q188">
        <f>N188/P188</f>
      </c>
      <c r="R188" s="1">
        <v>0</v>
      </c>
      <c r="S188" s="1">
        <v>0</v>
      </c>
      <c r="T188">
        <f>IF(R188=S188,"相符","不相符")</f>
      </c>
      <c r="U188"/>
      <c r="V188">
        <f>P188*R188</f>
      </c>
      <c r="W188">
        <f>Q188*V188</f>
      </c>
      <c r="X188">
        <v>0</v>
      </c>
      <c r="Y188"/>
      <c r="Z188"/>
      <c r="AA188"/>
      <c r="AB188"/>
      <c r="AC188"/>
      <c r="AD188"/>
    </row>
    <row r="189">
      <c r="A189" t="s">
        <v>30</v>
      </c>
      <c r="B189"/>
      <c r="C189" t="s">
        <v>455</v>
      </c>
      <c r="D189" t="s">
        <v>505</v>
      </c>
      <c r="E189" t="s">
        <v>506</v>
      </c>
      <c r="F189" s="2">
        <v>46282</v>
      </c>
      <c r="G189">
        <v>83</v>
      </c>
      <c r="H189"/>
      <c r="I189"/>
      <c r="J189"/>
      <c r="K189"/>
      <c r="L189"/>
      <c r="M189">
        <v>0</v>
      </c>
      <c r="N189">
        <v>0</v>
      </c>
      <c r="O189"/>
      <c r="P189">
        <v>0</v>
      </c>
      <c r="Q189">
        <f>N189/P189</f>
      </c>
      <c r="R189" s="1">
        <v>0</v>
      </c>
      <c r="S189" s="1">
        <v>0</v>
      </c>
      <c r="T189">
        <f>IF(R189=S189,"相符","不相符")</f>
      </c>
      <c r="U189"/>
      <c r="V189">
        <f>P189*R189</f>
      </c>
      <c r="W189">
        <f>Q189*V189</f>
      </c>
      <c r="X189">
        <v>0</v>
      </c>
      <c r="Y189"/>
      <c r="Z189"/>
      <c r="AA189"/>
      <c r="AB189"/>
      <c r="AC189"/>
      <c r="AD189"/>
    </row>
    <row r="190">
      <c r="A190" t="s">
        <v>30</v>
      </c>
      <c r="B190"/>
      <c r="C190" t="s">
        <v>455</v>
      </c>
      <c r="D190" t="s">
        <v>505</v>
      </c>
      <c r="E190" t="s">
        <v>506</v>
      </c>
      <c r="F190" s="2">
        <v>46282</v>
      </c>
      <c r="G190">
        <v>84</v>
      </c>
      <c r="H190"/>
      <c r="I190"/>
      <c r="J190"/>
      <c r="K190"/>
      <c r="L190"/>
      <c r="M190">
        <v>0</v>
      </c>
      <c r="N190">
        <v>0</v>
      </c>
      <c r="O190"/>
      <c r="P190">
        <v>0</v>
      </c>
      <c r="Q190">
        <f>N190/P190</f>
      </c>
      <c r="R190" s="1">
        <v>0</v>
      </c>
      <c r="S190" s="1">
        <v>0</v>
      </c>
      <c r="T190">
        <f>IF(R190=S190,"相符","不相符")</f>
      </c>
      <c r="U190"/>
      <c r="V190">
        <f>P190*R190</f>
      </c>
      <c r="W190">
        <f>Q190*V190</f>
      </c>
      <c r="X190">
        <v>0</v>
      </c>
      <c r="Y190"/>
      <c r="Z190"/>
      <c r="AA190"/>
      <c r="AB190"/>
      <c r="AC190"/>
      <c r="AD190"/>
    </row>
    <row r="191">
      <c r="A191" t="s">
        <v>30</v>
      </c>
      <c r="B191"/>
      <c r="C191" t="s">
        <v>455</v>
      </c>
      <c r="D191" t="s">
        <v>505</v>
      </c>
      <c r="E191" t="s">
        <v>506</v>
      </c>
      <c r="F191" s="2">
        <v>46282</v>
      </c>
      <c r="G191">
        <v>85</v>
      </c>
      <c r="H191"/>
      <c r="I191"/>
      <c r="J191"/>
      <c r="K191"/>
      <c r="L191"/>
      <c r="M191">
        <v>0</v>
      </c>
      <c r="N191">
        <v>0</v>
      </c>
      <c r="O191"/>
      <c r="P191">
        <v>0</v>
      </c>
      <c r="Q191">
        <f>N191/P191</f>
      </c>
      <c r="R191" s="1">
        <v>0</v>
      </c>
      <c r="S191" s="1">
        <v>0</v>
      </c>
      <c r="T191">
        <f>IF(R191=S191,"相符","不相符")</f>
      </c>
      <c r="U191"/>
      <c r="V191">
        <f>P191*R191</f>
      </c>
      <c r="W191">
        <f>Q191*V191</f>
      </c>
      <c r="X191">
        <v>0</v>
      </c>
      <c r="Y191"/>
      <c r="Z191"/>
      <c r="AA191"/>
      <c r="AB191"/>
      <c r="AC191"/>
      <c r="AD191"/>
    </row>
    <row r="192">
      <c r="A192" t="s">
        <v>30</v>
      </c>
      <c r="B192"/>
      <c r="C192" t="s">
        <v>455</v>
      </c>
      <c r="D192" t="s">
        <v>505</v>
      </c>
      <c r="E192" t="s">
        <v>506</v>
      </c>
      <c r="F192" s="2">
        <v>46282</v>
      </c>
      <c r="G192">
        <v>86</v>
      </c>
      <c r="H192"/>
      <c r="I192"/>
      <c r="J192"/>
      <c r="K192"/>
      <c r="L192"/>
      <c r="M192">
        <v>0</v>
      </c>
      <c r="N192">
        <v>0</v>
      </c>
      <c r="O192"/>
      <c r="P192">
        <v>0</v>
      </c>
      <c r="Q192">
        <f>N192/P192</f>
      </c>
      <c r="R192" s="1">
        <v>0</v>
      </c>
      <c r="S192" s="1">
        <v>0</v>
      </c>
      <c r="T192">
        <f>IF(R192=S192,"相符","不相符")</f>
      </c>
      <c r="U192"/>
      <c r="V192">
        <f>P192*R192</f>
      </c>
      <c r="W192">
        <f>Q192*V192</f>
      </c>
      <c r="X192">
        <v>0</v>
      </c>
      <c r="Y192"/>
      <c r="Z192"/>
      <c r="AA192"/>
      <c r="AB192"/>
      <c r="AC192"/>
      <c r="AD192"/>
    </row>
    <row r="193">
      <c r="A193" t="s">
        <v>30</v>
      </c>
      <c r="B193" t="s">
        <v>31</v>
      </c>
      <c r="C193" t="s">
        <v>507</v>
      </c>
      <c r="D193" t="s">
        <v>33</v>
      </c>
      <c r="E193" t="s">
        <v>34</v>
      </c>
      <c r="F193" s="2">
        <v>46283</v>
      </c>
      <c r="G193">
        <v>1</v>
      </c>
      <c r="H193" t="s">
        <v>139</v>
      </c>
      <c r="I193" t="s">
        <v>140</v>
      </c>
      <c r="J193" t="s">
        <v>141</v>
      </c>
      <c r="K193" t="s">
        <v>57</v>
      </c>
      <c r="L193" t="s">
        <v>142</v>
      </c>
      <c r="M193">
        <v>174</v>
      </c>
      <c r="N193">
        <v>174</v>
      </c>
      <c r="O193" t="s">
        <v>40</v>
      </c>
      <c r="P193">
        <v>6</v>
      </c>
      <c r="Q193">
        <f>N193/P193</f>
      </c>
      <c r="R193" s="1">
        <v>129</v>
      </c>
      <c r="S193" s="1">
        <v>129</v>
      </c>
      <c r="T193">
        <f>IF(R193=S193,"相符","不相符")</f>
      </c>
      <c r="U193" t="s">
        <v>141</v>
      </c>
      <c r="V193">
        <f>P193*R193</f>
      </c>
      <c r="W193">
        <f>Q193*V193</f>
      </c>
      <c r="X193">
        <v>540</v>
      </c>
      <c r="Y193" t="s">
        <v>508</v>
      </c>
      <c r="Z193" t="s">
        <v>42</v>
      </c>
      <c r="AA193"/>
      <c r="AB193"/>
      <c r="AC193" t="s">
        <v>43</v>
      </c>
      <c r="AD193"/>
    </row>
    <row r="194">
      <c r="A194" t="s">
        <v>30</v>
      </c>
      <c r="B194" t="s">
        <v>31</v>
      </c>
      <c r="C194" t="s">
        <v>507</v>
      </c>
      <c r="D194" t="s">
        <v>33</v>
      </c>
      <c r="E194" t="s">
        <v>34</v>
      </c>
      <c r="F194" s="2">
        <v>46283</v>
      </c>
      <c r="G194">
        <v>2</v>
      </c>
      <c r="H194" t="s">
        <v>338</v>
      </c>
      <c r="I194" t="s">
        <v>339</v>
      </c>
      <c r="J194" t="s">
        <v>340</v>
      </c>
      <c r="K194" t="s">
        <v>82</v>
      </c>
      <c r="L194" t="s">
        <v>341</v>
      </c>
      <c r="M194">
        <v>76</v>
      </c>
      <c r="N194">
        <v>76</v>
      </c>
      <c r="O194" t="s">
        <v>84</v>
      </c>
      <c r="P194">
        <v>1</v>
      </c>
      <c r="Q194">
        <f>N194/P194</f>
      </c>
      <c r="R194" s="1">
        <v>438</v>
      </c>
      <c r="S194" s="1">
        <v>438</v>
      </c>
      <c r="T194">
        <f>IF(R194=S194,"相符","不相符")</f>
      </c>
      <c r="U194" t="s">
        <v>342</v>
      </c>
      <c r="V194">
        <f>P194*R194</f>
      </c>
      <c r="W194">
        <f>Q194*V194</f>
      </c>
      <c r="X194">
        <v>730</v>
      </c>
      <c r="Y194" t="s">
        <v>509</v>
      </c>
      <c r="Z194" t="s">
        <v>42</v>
      </c>
      <c r="AA194"/>
      <c r="AB194"/>
      <c r="AC194" t="s">
        <v>43</v>
      </c>
      <c r="AD194"/>
    </row>
    <row r="195">
      <c r="A195" t="s">
        <v>30</v>
      </c>
      <c r="B195" t="s">
        <v>31</v>
      </c>
      <c r="C195" t="s">
        <v>507</v>
      </c>
      <c r="D195" t="s">
        <v>33</v>
      </c>
      <c r="E195" t="s">
        <v>34</v>
      </c>
      <c r="F195" s="2">
        <v>46283</v>
      </c>
      <c r="G195">
        <v>3</v>
      </c>
      <c r="H195" t="s">
        <v>510</v>
      </c>
      <c r="I195" t="s">
        <v>511</v>
      </c>
      <c r="J195" t="s">
        <v>512</v>
      </c>
      <c r="K195" t="s">
        <v>82</v>
      </c>
      <c r="L195" t="s">
        <v>513</v>
      </c>
      <c r="M195">
        <v>37</v>
      </c>
      <c r="N195">
        <v>37</v>
      </c>
      <c r="O195" t="s">
        <v>84</v>
      </c>
      <c r="P195">
        <v>1</v>
      </c>
      <c r="Q195">
        <f>N195/P195</f>
      </c>
      <c r="R195" s="1">
        <v>438</v>
      </c>
      <c r="S195" s="1">
        <v>438</v>
      </c>
      <c r="T195">
        <f>IF(R195=S195,"相符","不相符")</f>
      </c>
      <c r="U195" t="s">
        <v>512</v>
      </c>
      <c r="V195">
        <f>P195*R195</f>
      </c>
      <c r="W195">
        <f>Q195*V195</f>
      </c>
      <c r="X195">
        <v>730</v>
      </c>
      <c r="Y195" t="s">
        <v>322</v>
      </c>
      <c r="Z195" t="s">
        <v>42</v>
      </c>
      <c r="AA195"/>
      <c r="AB195"/>
      <c r="AC195" t="s">
        <v>43</v>
      </c>
      <c r="AD195"/>
    </row>
    <row r="196">
      <c r="A196" t="s">
        <v>30</v>
      </c>
      <c r="B196" t="s">
        <v>31</v>
      </c>
      <c r="C196" t="s">
        <v>507</v>
      </c>
      <c r="D196" t="s">
        <v>33</v>
      </c>
      <c r="E196" t="s">
        <v>34</v>
      </c>
      <c r="F196" s="2">
        <v>46283</v>
      </c>
      <c r="G196">
        <v>4</v>
      </c>
      <c r="H196" t="s">
        <v>169</v>
      </c>
      <c r="I196" t="s">
        <v>170</v>
      </c>
      <c r="J196" t="s">
        <v>171</v>
      </c>
      <c r="K196" t="s">
        <v>69</v>
      </c>
      <c r="L196" t="s">
        <v>172</v>
      </c>
      <c r="M196">
        <v>28</v>
      </c>
      <c r="N196">
        <v>28</v>
      </c>
      <c r="O196" t="s">
        <v>40</v>
      </c>
      <c r="P196">
        <v>4</v>
      </c>
      <c r="Q196">
        <f>N196/P196</f>
      </c>
      <c r="R196" s="1">
        <v>1170</v>
      </c>
      <c r="S196" s="1">
        <v>1170</v>
      </c>
      <c r="T196">
        <f>IF(R196=S196,"相符","不相符")</f>
      </c>
      <c r="U196" t="s">
        <v>173</v>
      </c>
      <c r="V196">
        <f>P196*R196</f>
      </c>
      <c r="W196">
        <f>Q196*V196</f>
      </c>
      <c r="X196">
        <v>540</v>
      </c>
      <c r="Y196" t="s">
        <v>514</v>
      </c>
      <c r="Z196" t="s">
        <v>42</v>
      </c>
      <c r="AA196"/>
      <c r="AB196"/>
      <c r="AC196" t="s">
        <v>43</v>
      </c>
      <c r="AD196"/>
    </row>
    <row r="197">
      <c r="A197" t="s">
        <v>30</v>
      </c>
      <c r="B197" t="s">
        <v>31</v>
      </c>
      <c r="C197" t="s">
        <v>507</v>
      </c>
      <c r="D197" t="s">
        <v>33</v>
      </c>
      <c r="E197" t="s">
        <v>34</v>
      </c>
      <c r="F197" s="2">
        <v>46283</v>
      </c>
      <c r="G197">
        <v>5</v>
      </c>
      <c r="H197" t="s">
        <v>360</v>
      </c>
      <c r="I197" t="s">
        <v>361</v>
      </c>
      <c r="J197" t="s">
        <v>362</v>
      </c>
      <c r="K197" t="s">
        <v>82</v>
      </c>
      <c r="L197" t="s">
        <v>363</v>
      </c>
      <c r="M197">
        <v>108</v>
      </c>
      <c r="N197">
        <v>108</v>
      </c>
      <c r="O197" t="s">
        <v>84</v>
      </c>
      <c r="P197">
        <v>1</v>
      </c>
      <c r="Q197">
        <f>N197/P197</f>
      </c>
      <c r="R197" s="1">
        <v>635</v>
      </c>
      <c r="S197" s="1">
        <v>635</v>
      </c>
      <c r="T197">
        <f>IF(R197=S197,"相符","不相符")</f>
      </c>
      <c r="U197" t="s">
        <v>362</v>
      </c>
      <c r="V197">
        <f>P197*R197</f>
      </c>
      <c r="W197">
        <f>Q197*V197</f>
      </c>
      <c r="X197">
        <v>730</v>
      </c>
      <c r="Y197" t="s">
        <v>515</v>
      </c>
      <c r="Z197" t="s">
        <v>42</v>
      </c>
      <c r="AA197"/>
      <c r="AB197"/>
      <c r="AC197" t="s">
        <v>43</v>
      </c>
      <c r="AD197"/>
    </row>
    <row r="198">
      <c r="A198" t="s">
        <v>30</v>
      </c>
      <c r="B198" t="s">
        <v>31</v>
      </c>
      <c r="C198" t="s">
        <v>516</v>
      </c>
      <c r="D198" t="s">
        <v>33</v>
      </c>
      <c r="E198" t="s">
        <v>34</v>
      </c>
      <c r="F198" s="2">
        <v>46283</v>
      </c>
      <c r="G198">
        <v>1</v>
      </c>
      <c r="H198" t="s">
        <v>517</v>
      </c>
      <c r="I198" t="s">
        <v>518</v>
      </c>
      <c r="J198" t="s">
        <v>519</v>
      </c>
      <c r="K198" t="s">
        <v>75</v>
      </c>
      <c r="L198" t="s">
        <v>520</v>
      </c>
      <c r="M198">
        <v>2748</v>
      </c>
      <c r="N198">
        <v>2736</v>
      </c>
      <c r="O198" t="s">
        <v>177</v>
      </c>
      <c r="P198">
        <v>48</v>
      </c>
      <c r="Q198">
        <f>N198/P198</f>
      </c>
      <c r="R198" s="1">
        <v>70</v>
      </c>
      <c r="S198" s="1">
        <v>70</v>
      </c>
      <c r="T198">
        <f>IF(R198=S198,"相符","不相符")</f>
      </c>
      <c r="U198" t="s">
        <v>519</v>
      </c>
      <c r="V198">
        <f>P198*R198</f>
      </c>
      <c r="W198">
        <f>Q198*V198</f>
      </c>
      <c r="X198">
        <v>540</v>
      </c>
      <c r="Y198" t="s">
        <v>521</v>
      </c>
      <c r="Z198" t="s">
        <v>42</v>
      </c>
      <c r="AA198"/>
      <c r="AB198"/>
      <c r="AC198" t="s">
        <v>43</v>
      </c>
      <c r="AD198"/>
    </row>
    <row r="199">
      <c r="A199" t="s">
        <v>30</v>
      </c>
      <c r="B199" t="s">
        <v>31</v>
      </c>
      <c r="C199" t="s">
        <v>516</v>
      </c>
      <c r="D199" t="s">
        <v>33</v>
      </c>
      <c r="E199" t="s">
        <v>34</v>
      </c>
      <c r="F199" s="2">
        <v>46283</v>
      </c>
      <c r="G199">
        <v>2</v>
      </c>
      <c r="H199" t="s">
        <v>153</v>
      </c>
      <c r="I199" t="s">
        <v>154</v>
      </c>
      <c r="J199" t="s">
        <v>155</v>
      </c>
      <c r="K199" t="s">
        <v>75</v>
      </c>
      <c r="L199" t="s">
        <v>156</v>
      </c>
      <c r="M199">
        <v>57</v>
      </c>
      <c r="N199">
        <v>54</v>
      </c>
      <c r="O199" t="s">
        <v>40</v>
      </c>
      <c r="P199">
        <v>6</v>
      </c>
      <c r="Q199">
        <f>N199/P199</f>
      </c>
      <c r="R199" s="1">
        <v>511</v>
      </c>
      <c r="S199" s="1">
        <v>511</v>
      </c>
      <c r="T199">
        <f>IF(R199=S199,"相符","不相符")</f>
      </c>
      <c r="U199" t="s">
        <v>157</v>
      </c>
      <c r="V199">
        <f>P199*R199</f>
      </c>
      <c r="W199">
        <f>Q199*V199</f>
      </c>
      <c r="X199">
        <v>365</v>
      </c>
      <c r="Y199" t="s">
        <v>522</v>
      </c>
      <c r="Z199" t="s">
        <v>42</v>
      </c>
      <c r="AA199"/>
      <c r="AB199"/>
      <c r="AC199" t="s">
        <v>43</v>
      </c>
      <c r="AD199"/>
    </row>
    <row r="200">
      <c r="A200" t="s">
        <v>30</v>
      </c>
      <c r="B200" t="s">
        <v>31</v>
      </c>
      <c r="C200" t="s">
        <v>516</v>
      </c>
      <c r="D200" t="s">
        <v>33</v>
      </c>
      <c r="E200" t="s">
        <v>34</v>
      </c>
      <c r="F200" s="2">
        <v>46283</v>
      </c>
      <c r="G200">
        <v>3</v>
      </c>
      <c r="H200" t="s">
        <v>523</v>
      </c>
      <c r="I200" t="s">
        <v>524</v>
      </c>
      <c r="J200" t="s">
        <v>525</v>
      </c>
      <c r="K200" t="s">
        <v>161</v>
      </c>
      <c r="L200" t="s">
        <v>526</v>
      </c>
      <c r="M200">
        <v>6</v>
      </c>
      <c r="N200">
        <v>6</v>
      </c>
      <c r="O200" t="s">
        <v>40</v>
      </c>
      <c r="P200">
        <v>6</v>
      </c>
      <c r="Q200">
        <f>N200/P200</f>
      </c>
      <c r="R200" s="1">
        <v>511</v>
      </c>
      <c r="S200" s="1">
        <v>511</v>
      </c>
      <c r="T200">
        <f>IF(R200=S200,"相符","不相符")</f>
      </c>
      <c r="U200" t="s">
        <v>527</v>
      </c>
      <c r="V200">
        <f>P200*R200</f>
      </c>
      <c r="W200">
        <f>Q200*V200</f>
      </c>
      <c r="X200">
        <v>365</v>
      </c>
      <c r="Y200" t="s">
        <v>522</v>
      </c>
      <c r="Z200" t="s">
        <v>42</v>
      </c>
      <c r="AA200"/>
      <c r="AB200"/>
      <c r="AC200" t="s">
        <v>43</v>
      </c>
      <c r="AD200"/>
    </row>
    <row r="201">
      <c r="A201" t="s">
        <v>30</v>
      </c>
      <c r="B201" t="s">
        <v>31</v>
      </c>
      <c r="C201" t="s">
        <v>516</v>
      </c>
      <c r="D201" t="s">
        <v>33</v>
      </c>
      <c r="E201" t="s">
        <v>34</v>
      </c>
      <c r="F201" s="2">
        <v>46283</v>
      </c>
      <c r="G201">
        <v>4</v>
      </c>
      <c r="H201" t="s">
        <v>528</v>
      </c>
      <c r="I201" t="s">
        <v>529</v>
      </c>
      <c r="J201" t="s">
        <v>530</v>
      </c>
      <c r="K201" t="s">
        <v>121</v>
      </c>
      <c r="L201" t="s">
        <v>531</v>
      </c>
      <c r="M201">
        <v>12</v>
      </c>
      <c r="N201">
        <v>12</v>
      </c>
      <c r="O201" t="s">
        <v>40</v>
      </c>
      <c r="P201">
        <v>6</v>
      </c>
      <c r="Q201">
        <f>N201/P201</f>
      </c>
      <c r="R201" s="1">
        <v>511</v>
      </c>
      <c r="S201" s="1">
        <v>511</v>
      </c>
      <c r="T201">
        <f>IF(R201=S201,"相符","不相符")</f>
      </c>
      <c r="U201" t="s">
        <v>532</v>
      </c>
      <c r="V201">
        <f>P201*R201</f>
      </c>
      <c r="W201">
        <f>Q201*V201</f>
      </c>
      <c r="X201">
        <v>365</v>
      </c>
      <c r="Y201" t="s">
        <v>522</v>
      </c>
      <c r="Z201" t="s">
        <v>42</v>
      </c>
      <c r="AA201"/>
      <c r="AB201"/>
      <c r="AC201" t="s">
        <v>43</v>
      </c>
      <c r="AD201"/>
    </row>
    <row r="202">
      <c r="A202" t="s">
        <v>30</v>
      </c>
      <c r="B202" t="s">
        <v>31</v>
      </c>
      <c r="C202" t="s">
        <v>516</v>
      </c>
      <c r="D202" t="s">
        <v>33</v>
      </c>
      <c r="E202" t="s">
        <v>34</v>
      </c>
      <c r="F202" s="2">
        <v>46283</v>
      </c>
      <c r="G202">
        <v>5</v>
      </c>
      <c r="H202" t="s">
        <v>533</v>
      </c>
      <c r="I202" t="s">
        <v>534</v>
      </c>
      <c r="J202" t="s">
        <v>535</v>
      </c>
      <c r="K202" t="s">
        <v>63</v>
      </c>
      <c r="L202" t="s">
        <v>536</v>
      </c>
      <c r="M202">
        <v>115</v>
      </c>
      <c r="N202">
        <v>108</v>
      </c>
      <c r="O202" t="s">
        <v>40</v>
      </c>
      <c r="P202">
        <v>12</v>
      </c>
      <c r="Q202">
        <f>N202/P202</f>
      </c>
      <c r="R202" s="1">
        <v>317</v>
      </c>
      <c r="S202" s="1">
        <v>317</v>
      </c>
      <c r="T202">
        <f>IF(R202=S202,"相符","不相符")</f>
      </c>
      <c r="U202" t="s">
        <v>535</v>
      </c>
      <c r="V202">
        <f>P202*R202</f>
      </c>
      <c r="W202">
        <f>Q202*V202</f>
      </c>
      <c r="X202">
        <v>450</v>
      </c>
      <c r="Y202" t="s">
        <v>537</v>
      </c>
      <c r="Z202" t="s">
        <v>42</v>
      </c>
      <c r="AA202"/>
      <c r="AB202"/>
      <c r="AC202" t="s">
        <v>43</v>
      </c>
      <c r="AD202"/>
    </row>
    <row r="203">
      <c r="A203" t="s">
        <v>30</v>
      </c>
      <c r="B203" t="s">
        <v>31</v>
      </c>
      <c r="C203" t="s">
        <v>516</v>
      </c>
      <c r="D203" t="s">
        <v>33</v>
      </c>
      <c r="E203" t="s">
        <v>34</v>
      </c>
      <c r="F203" s="2">
        <v>46283</v>
      </c>
      <c r="G203">
        <v>6</v>
      </c>
      <c r="H203" t="s">
        <v>178</v>
      </c>
      <c r="I203" t="s">
        <v>179</v>
      </c>
      <c r="J203" t="s">
        <v>180</v>
      </c>
      <c r="K203" t="s">
        <v>75</v>
      </c>
      <c r="L203" t="s">
        <v>181</v>
      </c>
      <c r="M203">
        <v>168</v>
      </c>
      <c r="N203">
        <v>168</v>
      </c>
      <c r="O203" t="s">
        <v>40</v>
      </c>
      <c r="P203">
        <v>6</v>
      </c>
      <c r="Q203">
        <f>N203/P203</f>
      </c>
      <c r="R203" s="1">
        <v>511</v>
      </c>
      <c r="S203" s="1">
        <v>511</v>
      </c>
      <c r="T203">
        <f>IF(R203=S203,"相符","不相符")</f>
      </c>
      <c r="U203" t="s">
        <v>182</v>
      </c>
      <c r="V203">
        <f>P203*R203</f>
      </c>
      <c r="W203">
        <f>Q203*V203</f>
      </c>
      <c r="X203">
        <v>365</v>
      </c>
      <c r="Y203" t="s">
        <v>538</v>
      </c>
      <c r="Z203" t="s">
        <v>42</v>
      </c>
      <c r="AA203"/>
      <c r="AB203"/>
      <c r="AC203" t="s">
        <v>43</v>
      </c>
      <c r="AD203"/>
    </row>
    <row r="204">
      <c r="A204" t="s">
        <v>30</v>
      </c>
      <c r="B204" t="s">
        <v>31</v>
      </c>
      <c r="C204" t="s">
        <v>539</v>
      </c>
      <c r="D204" t="s">
        <v>33</v>
      </c>
      <c r="E204" t="s">
        <v>34</v>
      </c>
      <c r="F204" s="2">
        <v>46283</v>
      </c>
      <c r="G204">
        <v>1</v>
      </c>
      <c r="H204" t="s">
        <v>143</v>
      </c>
      <c r="I204" t="s">
        <v>144</v>
      </c>
      <c r="J204" t="s">
        <v>145</v>
      </c>
      <c r="K204" t="s">
        <v>57</v>
      </c>
      <c r="L204" t="s">
        <v>146</v>
      </c>
      <c r="M204">
        <v>80</v>
      </c>
      <c r="N204">
        <v>78</v>
      </c>
      <c r="O204" t="s">
        <v>40</v>
      </c>
      <c r="P204">
        <v>6</v>
      </c>
      <c r="Q204">
        <f>N204/P204</f>
      </c>
      <c r="R204" s="1">
        <v>129</v>
      </c>
      <c r="S204" s="1">
        <v>129</v>
      </c>
      <c r="T204">
        <f>IF(R204=S204,"相符","不相符")</f>
      </c>
      <c r="U204" t="s">
        <v>145</v>
      </c>
      <c r="V204">
        <f>P204*R204</f>
      </c>
      <c r="W204">
        <f>Q204*V204</f>
      </c>
      <c r="X204">
        <v>540</v>
      </c>
      <c r="Y204" t="s">
        <v>537</v>
      </c>
      <c r="Z204" t="s">
        <v>42</v>
      </c>
      <c r="AA204"/>
      <c r="AB204"/>
      <c r="AC204" t="s">
        <v>43</v>
      </c>
      <c r="AD204"/>
    </row>
    <row r="205">
      <c r="A205" t="s">
        <v>30</v>
      </c>
      <c r="B205" t="s">
        <v>31</v>
      </c>
      <c r="C205" t="s">
        <v>539</v>
      </c>
      <c r="D205" t="s">
        <v>33</v>
      </c>
      <c r="E205" t="s">
        <v>34</v>
      </c>
      <c r="F205" s="2">
        <v>46283</v>
      </c>
      <c r="G205">
        <v>2</v>
      </c>
      <c r="H205" t="s">
        <v>540</v>
      </c>
      <c r="I205" t="s">
        <v>541</v>
      </c>
      <c r="J205" t="s">
        <v>542</v>
      </c>
      <c r="K205" t="s">
        <v>69</v>
      </c>
      <c r="L205" t="s">
        <v>543</v>
      </c>
      <c r="M205">
        <v>20</v>
      </c>
      <c r="N205">
        <v>20</v>
      </c>
      <c r="O205" t="s">
        <v>40</v>
      </c>
      <c r="P205">
        <v>4</v>
      </c>
      <c r="Q205">
        <f>N205/P205</f>
      </c>
      <c r="R205" s="1">
        <v>731</v>
      </c>
      <c r="S205" s="1">
        <v>731</v>
      </c>
      <c r="T205">
        <f>IF(R205=S205,"相符","不相符")</f>
      </c>
      <c r="U205" t="s">
        <v>544</v>
      </c>
      <c r="V205">
        <f>P205*R205</f>
      </c>
      <c r="W205">
        <f>Q205*V205</f>
      </c>
      <c r="X205">
        <v>540</v>
      </c>
      <c r="Y205" t="s">
        <v>508</v>
      </c>
      <c r="Z205" t="s">
        <v>42</v>
      </c>
      <c r="AA205"/>
      <c r="AB205"/>
      <c r="AC205" t="s">
        <v>43</v>
      </c>
      <c r="AD205"/>
    </row>
    <row r="206">
      <c r="A206" t="s">
        <v>30</v>
      </c>
      <c r="B206" t="s">
        <v>31</v>
      </c>
      <c r="C206" t="s">
        <v>545</v>
      </c>
      <c r="D206" t="s">
        <v>33</v>
      </c>
      <c r="E206" t="s">
        <v>34</v>
      </c>
      <c r="F206" s="2">
        <v>46283</v>
      </c>
      <c r="G206">
        <v>1</v>
      </c>
      <c r="H206" t="s">
        <v>546</v>
      </c>
      <c r="I206" t="s">
        <v>547</v>
      </c>
      <c r="J206" t="s">
        <v>548</v>
      </c>
      <c r="K206" t="s">
        <v>121</v>
      </c>
      <c r="L206" t="s">
        <v>549</v>
      </c>
      <c r="M206">
        <v>12</v>
      </c>
      <c r="N206">
        <v>12</v>
      </c>
      <c r="O206" t="s">
        <v>40</v>
      </c>
      <c r="P206">
        <v>6</v>
      </c>
      <c r="Q206">
        <f>N206/P206</f>
      </c>
      <c r="R206" s="1">
        <v>511</v>
      </c>
      <c r="S206" s="1">
        <v>511</v>
      </c>
      <c r="T206">
        <f>IF(R206=S206,"相符","不相符")</f>
      </c>
      <c r="U206" t="s">
        <v>550</v>
      </c>
      <c r="V206">
        <f>P206*R206</f>
      </c>
      <c r="W206">
        <f>Q206*V206</f>
      </c>
      <c r="X206">
        <v>365</v>
      </c>
      <c r="Y206" t="s">
        <v>522</v>
      </c>
      <c r="Z206" t="s">
        <v>123</v>
      </c>
      <c r="AA206"/>
      <c r="AB206"/>
      <c r="AC206" t="s">
        <v>43</v>
      </c>
      <c r="AD206"/>
    </row>
    <row r="207">
      <c r="A207" t="s">
        <v>30</v>
      </c>
      <c r="B207" t="s">
        <v>31</v>
      </c>
      <c r="C207" t="s">
        <v>545</v>
      </c>
      <c r="D207" t="s">
        <v>33</v>
      </c>
      <c r="E207" t="s">
        <v>34</v>
      </c>
      <c r="F207" s="2">
        <v>46283</v>
      </c>
      <c r="G207">
        <v>2</v>
      </c>
      <c r="H207" t="s">
        <v>551</v>
      </c>
      <c r="I207" t="s">
        <v>552</v>
      </c>
      <c r="J207" t="s">
        <v>553</v>
      </c>
      <c r="K207" t="s">
        <v>63</v>
      </c>
      <c r="L207" t="s">
        <v>554</v>
      </c>
      <c r="M207">
        <v>32</v>
      </c>
      <c r="N207">
        <v>32</v>
      </c>
      <c r="O207" t="s">
        <v>84</v>
      </c>
      <c r="P207">
        <v>1</v>
      </c>
      <c r="Q207">
        <f>N207/P207</f>
      </c>
      <c r="R207" s="1">
        <v>680</v>
      </c>
      <c r="S207" s="1">
        <v>665</v>
      </c>
      <c r="T207">
        <f>IF(R207=S207,"相符","不相符")</f>
      </c>
      <c r="U207" t="s">
        <v>553</v>
      </c>
      <c r="V207">
        <f>P207*R207</f>
      </c>
      <c r="W207">
        <f>Q207*V207</f>
      </c>
      <c r="X207">
        <v>456</v>
      </c>
      <c r="Y207" t="s">
        <v>508</v>
      </c>
      <c r="Z207" t="s">
        <v>123</v>
      </c>
      <c r="AA207"/>
      <c r="AB207"/>
      <c r="AC207" t="s">
        <v>43</v>
      </c>
      <c r="AD207"/>
    </row>
    <row r="208">
      <c r="A208" t="s">
        <v>30</v>
      </c>
      <c r="B208" t="s">
        <v>31</v>
      </c>
      <c r="C208" t="s">
        <v>555</v>
      </c>
      <c r="D208" t="s">
        <v>464</v>
      </c>
      <c r="E208" t="s">
        <v>465</v>
      </c>
      <c r="F208" s="2">
        <v>46283</v>
      </c>
      <c r="G208">
        <v>1</v>
      </c>
      <c r="H208" t="s">
        <v>466</v>
      </c>
      <c r="I208" t="s">
        <v>467</v>
      </c>
      <c r="J208" t="s">
        <v>468</v>
      </c>
      <c r="K208" t="s">
        <v>75</v>
      </c>
      <c r="L208" t="s">
        <v>469</v>
      </c>
      <c r="M208">
        <v>10</v>
      </c>
      <c r="N208">
        <v>10</v>
      </c>
      <c r="O208" t="s">
        <v>84</v>
      </c>
      <c r="P208">
        <v>1</v>
      </c>
      <c r="Q208">
        <f>N208/P208</f>
      </c>
      <c r="R208" s="1">
        <v>3066</v>
      </c>
      <c r="S208" s="1">
        <v>3066</v>
      </c>
      <c r="T208">
        <f>IF(R208=S208,"相符","不相符")</f>
      </c>
      <c r="U208" t="s">
        <v>470</v>
      </c>
      <c r="V208">
        <f>P208*R208</f>
      </c>
      <c r="W208">
        <f>Q208*V208</f>
      </c>
      <c r="X208">
        <v>365</v>
      </c>
      <c r="Y208" t="s">
        <v>522</v>
      </c>
      <c r="Z208" t="s">
        <v>42</v>
      </c>
      <c r="AA208"/>
      <c r="AB208"/>
      <c r="AC208" t="s">
        <v>43</v>
      </c>
      <c r="AD208"/>
    </row>
    <row r="209">
      <c r="A209" t="s">
        <v>30</v>
      </c>
      <c r="B209" t="s">
        <v>31</v>
      </c>
      <c r="C209" t="s">
        <v>555</v>
      </c>
      <c r="D209" t="s">
        <v>464</v>
      </c>
      <c r="E209" t="s">
        <v>465</v>
      </c>
      <c r="F209" s="2">
        <v>46283</v>
      </c>
      <c r="G209">
        <v>2</v>
      </c>
      <c r="H209" t="s">
        <v>556</v>
      </c>
      <c r="I209" t="s">
        <v>557</v>
      </c>
      <c r="J209" t="s">
        <v>558</v>
      </c>
      <c r="K209" t="s">
        <v>161</v>
      </c>
      <c r="L209" t="s">
        <v>559</v>
      </c>
      <c r="M209">
        <v>9</v>
      </c>
      <c r="N209">
        <v>9</v>
      </c>
      <c r="O209" t="s">
        <v>84</v>
      </c>
      <c r="P209">
        <v>1</v>
      </c>
      <c r="Q209">
        <f>N209/P209</f>
      </c>
      <c r="R209" s="1">
        <v>1260</v>
      </c>
      <c r="S209" s="1">
        <v>1068</v>
      </c>
      <c r="T209">
        <f>IF(R209=S209,"相符","不相符")</f>
      </c>
      <c r="U209" t="s">
        <v>558</v>
      </c>
      <c r="V209">
        <f>P209*R209</f>
      </c>
      <c r="W209">
        <f>Q209*V209</f>
      </c>
      <c r="X209">
        <v>365</v>
      </c>
      <c r="Y209" t="s">
        <v>522</v>
      </c>
      <c r="Z209" t="s">
        <v>42</v>
      </c>
      <c r="AA209"/>
      <c r="AB209"/>
      <c r="AC209" t="s">
        <v>43</v>
      </c>
      <c r="AD209"/>
    </row>
    <row r="210">
      <c r="A210" t="s">
        <v>30</v>
      </c>
      <c r="B210" t="s">
        <v>31</v>
      </c>
      <c r="C210" t="s">
        <v>555</v>
      </c>
      <c r="D210" t="s">
        <v>464</v>
      </c>
      <c r="E210" t="s">
        <v>465</v>
      </c>
      <c r="F210" s="2">
        <v>46283</v>
      </c>
      <c r="G210">
        <v>3</v>
      </c>
      <c r="H210" t="s">
        <v>560</v>
      </c>
      <c r="I210" t="s">
        <v>561</v>
      </c>
      <c r="J210" t="s">
        <v>562</v>
      </c>
      <c r="K210" t="s">
        <v>63</v>
      </c>
      <c r="L210" t="s">
        <v>563</v>
      </c>
      <c r="M210">
        <v>1</v>
      </c>
      <c r="N210">
        <v>1</v>
      </c>
      <c r="O210" t="s">
        <v>84</v>
      </c>
      <c r="P210">
        <v>1</v>
      </c>
      <c r="Q210">
        <f>N210/P210</f>
      </c>
      <c r="R210" s="1">
        <v>1990</v>
      </c>
      <c r="S210" s="1">
        <v>1770</v>
      </c>
      <c r="T210">
        <f>IF(R210=S210,"相符","不相符")</f>
      </c>
      <c r="U210" t="s">
        <v>562</v>
      </c>
      <c r="V210">
        <f>P210*R210</f>
      </c>
      <c r="W210">
        <f>Q210*V210</f>
      </c>
      <c r="X210">
        <v>450</v>
      </c>
      <c r="Y210" t="s">
        <v>537</v>
      </c>
      <c r="Z210" t="s">
        <v>42</v>
      </c>
      <c r="AA210"/>
      <c r="AB210"/>
      <c r="AC210" t="s">
        <v>43</v>
      </c>
      <c r="AD210"/>
    </row>
    <row r="211">
      <c r="A211" t="s">
        <v>30</v>
      </c>
      <c r="B211" t="s">
        <v>254</v>
      </c>
      <c r="C211" t="s">
        <v>564</v>
      </c>
      <c r="D211" t="s">
        <v>262</v>
      </c>
      <c r="E211" t="s">
        <v>263</v>
      </c>
      <c r="F211" s="2">
        <v>46284</v>
      </c>
      <c r="G211">
        <v>1</v>
      </c>
      <c r="H211" t="s">
        <v>272</v>
      </c>
      <c r="I211" t="s">
        <v>273</v>
      </c>
      <c r="J211" t="s">
        <v>274</v>
      </c>
      <c r="K211" t="s">
        <v>258</v>
      </c>
      <c r="L211" t="s">
        <v>275</v>
      </c>
      <c r="M211">
        <v>3344</v>
      </c>
      <c r="N211">
        <v>3344</v>
      </c>
      <c r="O211" t="s">
        <v>197</v>
      </c>
      <c r="P211">
        <v>8</v>
      </c>
      <c r="Q211">
        <f>N211/P211</f>
      </c>
      <c r="R211" s="1">
        <v>65</v>
      </c>
      <c r="S211" s="1">
        <v>65</v>
      </c>
      <c r="T211">
        <f>IF(R211=S211,"相符","不相符")</f>
      </c>
      <c r="U211" t="s">
        <v>276</v>
      </c>
      <c r="V211">
        <f>P211*R211</f>
      </c>
      <c r="W211">
        <f>Q211*V211</f>
      </c>
      <c r="X211">
        <v>1825</v>
      </c>
      <c r="Y211" t="s">
        <v>565</v>
      </c>
      <c r="Z211" t="s">
        <v>42</v>
      </c>
      <c r="AA211"/>
      <c r="AB211"/>
      <c r="AC211" t="s">
        <v>243</v>
      </c>
      <c r="AD211"/>
    </row>
    <row r="212">
      <c r="A212" t="s">
        <v>30</v>
      </c>
      <c r="B212" t="s">
        <v>254</v>
      </c>
      <c r="C212" t="s">
        <v>566</v>
      </c>
      <c r="D212" t="s">
        <v>567</v>
      </c>
      <c r="E212" t="s">
        <v>568</v>
      </c>
      <c r="F212" s="2">
        <v>46284</v>
      </c>
      <c r="G212">
        <v>1</v>
      </c>
      <c r="H212" t="s">
        <v>569</v>
      </c>
      <c r="I212" t="s">
        <v>570</v>
      </c>
      <c r="J212" t="s">
        <v>571</v>
      </c>
      <c r="K212" t="s">
        <v>491</v>
      </c>
      <c r="L212" t="s">
        <v>572</v>
      </c>
      <c r="M212">
        <v>40</v>
      </c>
      <c r="N212">
        <v>40</v>
      </c>
      <c r="O212" t="s">
        <v>84</v>
      </c>
      <c r="P212">
        <v>1</v>
      </c>
      <c r="Q212">
        <f>N212/P212</f>
      </c>
      <c r="R212" s="1">
        <v>638</v>
      </c>
      <c r="S212" s="1">
        <v>638</v>
      </c>
      <c r="T212">
        <f>IF(R212=S212,"相符","不相符")</f>
      </c>
      <c r="U212"/>
      <c r="V212">
        <f>P212*R212</f>
      </c>
      <c r="W212">
        <f>Q212*V212</f>
      </c>
      <c r="X212">
        <v>1825</v>
      </c>
      <c r="Y212" t="s">
        <v>565</v>
      </c>
      <c r="Z212" t="s">
        <v>573</v>
      </c>
      <c r="AA212"/>
      <c r="AB212"/>
      <c r="AC212" t="s">
        <v>243</v>
      </c>
      <c r="AD212"/>
    </row>
    <row r="213">
      <c r="A213" t="s">
        <v>30</v>
      </c>
      <c r="B213" t="s">
        <v>254</v>
      </c>
      <c r="C213" t="s">
        <v>566</v>
      </c>
      <c r="D213" t="s">
        <v>567</v>
      </c>
      <c r="E213" t="s">
        <v>568</v>
      </c>
      <c r="F213" s="2">
        <v>46284</v>
      </c>
      <c r="G213">
        <v>2</v>
      </c>
      <c r="H213" t="s">
        <v>574</v>
      </c>
      <c r="I213" t="s">
        <v>575</v>
      </c>
      <c r="J213" t="s">
        <v>576</v>
      </c>
      <c r="K213" t="s">
        <v>491</v>
      </c>
      <c r="L213" t="s">
        <v>577</v>
      </c>
      <c r="M213">
        <v>24</v>
      </c>
      <c r="N213">
        <v>24</v>
      </c>
      <c r="O213" t="s">
        <v>84</v>
      </c>
      <c r="P213">
        <v>1</v>
      </c>
      <c r="Q213">
        <f>N213/P213</f>
      </c>
      <c r="R213" s="1">
        <v>868</v>
      </c>
      <c r="S213" s="1">
        <v>868</v>
      </c>
      <c r="T213">
        <f>IF(R213=S213,"相符","不相符")</f>
      </c>
      <c r="U213" t="s">
        <v>578</v>
      </c>
      <c r="V213">
        <f>P213*R213</f>
      </c>
      <c r="W213">
        <f>Q213*V213</f>
      </c>
      <c r="X213">
        <v>1825</v>
      </c>
      <c r="Y213" t="s">
        <v>565</v>
      </c>
      <c r="Z213" t="s">
        <v>573</v>
      </c>
      <c r="AA213"/>
      <c r="AB213"/>
      <c r="AC213" t="s">
        <v>243</v>
      </c>
      <c r="AD213"/>
    </row>
    <row r="214">
      <c r="A214" t="s">
        <v>30</v>
      </c>
      <c r="B214" t="s">
        <v>254</v>
      </c>
      <c r="C214" t="s">
        <v>566</v>
      </c>
      <c r="D214" t="s">
        <v>567</v>
      </c>
      <c r="E214" t="s">
        <v>568</v>
      </c>
      <c r="F214" s="2">
        <v>46284</v>
      </c>
      <c r="G214">
        <v>3</v>
      </c>
      <c r="H214" t="s">
        <v>579</v>
      </c>
      <c r="I214" t="s">
        <v>580</v>
      </c>
      <c r="J214" t="s">
        <v>581</v>
      </c>
      <c r="K214" t="s">
        <v>258</v>
      </c>
      <c r="L214" t="s">
        <v>582</v>
      </c>
      <c r="M214">
        <v>66</v>
      </c>
      <c r="N214">
        <v>66</v>
      </c>
      <c r="O214" t="s">
        <v>84</v>
      </c>
      <c r="P214">
        <v>1</v>
      </c>
      <c r="Q214">
        <f>N214/P214</f>
      </c>
      <c r="R214" s="1">
        <v>459</v>
      </c>
      <c r="S214" s="1">
        <v>459</v>
      </c>
      <c r="T214">
        <f>IF(R214=S214,"相符","不相符")</f>
      </c>
      <c r="U214"/>
      <c r="V214">
        <f>P214*R214</f>
      </c>
      <c r="W214">
        <f>Q214*V214</f>
      </c>
      <c r="X214">
        <v>1825</v>
      </c>
      <c r="Y214" t="s">
        <v>565</v>
      </c>
      <c r="Z214" t="s">
        <v>573</v>
      </c>
      <c r="AA214"/>
      <c r="AB214"/>
      <c r="AC214" t="s">
        <v>243</v>
      </c>
      <c r="AD214"/>
    </row>
    <row r="215">
      <c r="A215" t="s">
        <v>30</v>
      </c>
      <c r="B215" t="s">
        <v>254</v>
      </c>
      <c r="C215" t="s">
        <v>566</v>
      </c>
      <c r="D215" t="s">
        <v>567</v>
      </c>
      <c r="E215" t="s">
        <v>568</v>
      </c>
      <c r="F215" s="2">
        <v>46284</v>
      </c>
      <c r="G215">
        <v>4</v>
      </c>
      <c r="H215" t="s">
        <v>583</v>
      </c>
      <c r="I215" t="s">
        <v>584</v>
      </c>
      <c r="J215" t="s">
        <v>585</v>
      </c>
      <c r="K215" t="s">
        <v>491</v>
      </c>
      <c r="L215" t="s">
        <v>586</v>
      </c>
      <c r="M215">
        <v>288</v>
      </c>
      <c r="N215">
        <v>288</v>
      </c>
      <c r="O215" t="s">
        <v>84</v>
      </c>
      <c r="P215">
        <v>1</v>
      </c>
      <c r="Q215">
        <f>N215/P215</f>
      </c>
      <c r="R215" s="1">
        <v>569</v>
      </c>
      <c r="S215" s="1">
        <v>569</v>
      </c>
      <c r="T215">
        <f>IF(R215=S215,"相符","不相符")</f>
      </c>
      <c r="U215"/>
      <c r="V215">
        <f>P215*R215</f>
      </c>
      <c r="W215">
        <f>Q215*V215</f>
      </c>
      <c r="X215">
        <v>1825</v>
      </c>
      <c r="Y215" t="s">
        <v>565</v>
      </c>
      <c r="Z215" t="s">
        <v>573</v>
      </c>
      <c r="AA215"/>
      <c r="AB215"/>
      <c r="AC215" t="s">
        <v>243</v>
      </c>
      <c r="AD215"/>
    </row>
    <row r="216">
      <c r="A216" t="s">
        <v>30</v>
      </c>
      <c r="B216" t="s">
        <v>254</v>
      </c>
      <c r="C216" t="s">
        <v>566</v>
      </c>
      <c r="D216" t="s">
        <v>567</v>
      </c>
      <c r="E216" t="s">
        <v>568</v>
      </c>
      <c r="F216" s="2">
        <v>46284</v>
      </c>
      <c r="G216">
        <v>5</v>
      </c>
      <c r="H216" t="s">
        <v>587</v>
      </c>
      <c r="I216" t="s">
        <v>588</v>
      </c>
      <c r="J216" t="s">
        <v>589</v>
      </c>
      <c r="K216" t="s">
        <v>491</v>
      </c>
      <c r="L216" t="s">
        <v>590</v>
      </c>
      <c r="M216">
        <v>10</v>
      </c>
      <c r="N216">
        <v>10</v>
      </c>
      <c r="O216" t="s">
        <v>84</v>
      </c>
      <c r="P216">
        <v>1</v>
      </c>
      <c r="Q216">
        <f>N216/P216</f>
      </c>
      <c r="R216" s="1">
        <v>992</v>
      </c>
      <c r="S216" s="1">
        <v>992</v>
      </c>
      <c r="T216">
        <f>IF(R216=S216,"相符","不相符")</f>
      </c>
      <c r="U216" t="s">
        <v>578</v>
      </c>
      <c r="V216">
        <f>P216*R216</f>
      </c>
      <c r="W216">
        <f>Q216*V216</f>
      </c>
      <c r="X216">
        <v>1825</v>
      </c>
      <c r="Y216" t="s">
        <v>565</v>
      </c>
      <c r="Z216" t="s">
        <v>573</v>
      </c>
      <c r="AA216"/>
      <c r="AB216"/>
      <c r="AC216" t="s">
        <v>243</v>
      </c>
      <c r="AD216"/>
    </row>
    <row r="217">
      <c r="A217" t="s">
        <v>30</v>
      </c>
      <c r="B217" t="s">
        <v>254</v>
      </c>
      <c r="C217" t="s">
        <v>566</v>
      </c>
      <c r="D217" t="s">
        <v>567</v>
      </c>
      <c r="E217" t="s">
        <v>568</v>
      </c>
      <c r="F217" s="2">
        <v>46284</v>
      </c>
      <c r="G217">
        <v>6</v>
      </c>
      <c r="H217" t="s">
        <v>591</v>
      </c>
      <c r="I217" t="s">
        <v>592</v>
      </c>
      <c r="J217" t="s">
        <v>593</v>
      </c>
      <c r="K217" t="s">
        <v>258</v>
      </c>
      <c r="L217" t="s">
        <v>594</v>
      </c>
      <c r="M217">
        <v>72</v>
      </c>
      <c r="N217">
        <v>72</v>
      </c>
      <c r="O217" t="s">
        <v>84</v>
      </c>
      <c r="P217">
        <v>1</v>
      </c>
      <c r="Q217">
        <f>N217/P217</f>
      </c>
      <c r="R217" s="1">
        <v>630</v>
      </c>
      <c r="S217" s="1">
        <v>630</v>
      </c>
      <c r="T217">
        <f>IF(R217=S217,"相符","不相符")</f>
      </c>
      <c r="U217"/>
      <c r="V217">
        <f>P217*R217</f>
      </c>
      <c r="W217">
        <f>Q217*V217</f>
      </c>
      <c r="X217">
        <v>1825</v>
      </c>
      <c r="Y217" t="s">
        <v>565</v>
      </c>
      <c r="Z217" t="s">
        <v>573</v>
      </c>
      <c r="AA217"/>
      <c r="AB217"/>
      <c r="AC217" t="s">
        <v>243</v>
      </c>
      <c r="AD217"/>
    </row>
    <row r="218">
      <c r="A218" t="s">
        <v>30</v>
      </c>
      <c r="B218" t="s">
        <v>254</v>
      </c>
      <c r="C218" t="s">
        <v>566</v>
      </c>
      <c r="D218" t="s">
        <v>567</v>
      </c>
      <c r="E218" t="s">
        <v>568</v>
      </c>
      <c r="F218" s="2">
        <v>46284</v>
      </c>
      <c r="G218">
        <v>7</v>
      </c>
      <c r="H218" t="s">
        <v>595</v>
      </c>
      <c r="I218" t="s">
        <v>596</v>
      </c>
      <c r="J218" t="s">
        <v>597</v>
      </c>
      <c r="K218" t="s">
        <v>491</v>
      </c>
      <c r="L218" t="s">
        <v>598</v>
      </c>
      <c r="M218">
        <v>10</v>
      </c>
      <c r="N218">
        <v>10</v>
      </c>
      <c r="O218" t="s">
        <v>84</v>
      </c>
      <c r="P218">
        <v>1</v>
      </c>
      <c r="Q218">
        <f>N218/P218</f>
      </c>
      <c r="R218" s="1">
        <v>742</v>
      </c>
      <c r="S218" s="1">
        <v>742</v>
      </c>
      <c r="T218">
        <f>IF(R218=S218,"相符","不相符")</f>
      </c>
      <c r="U218" t="s">
        <v>578</v>
      </c>
      <c r="V218">
        <f>P218*R218</f>
      </c>
      <c r="W218">
        <f>Q218*V218</f>
      </c>
      <c r="X218">
        <v>1825</v>
      </c>
      <c r="Y218" t="s">
        <v>565</v>
      </c>
      <c r="Z218" t="s">
        <v>573</v>
      </c>
      <c r="AA218"/>
      <c r="AB218"/>
      <c r="AC218" t="s">
        <v>243</v>
      </c>
      <c r="AD218"/>
    </row>
    <row r="219">
      <c r="A219" t="s">
        <v>30</v>
      </c>
      <c r="B219" t="s">
        <v>254</v>
      </c>
      <c r="C219" t="s">
        <v>566</v>
      </c>
      <c r="D219" t="s">
        <v>567</v>
      </c>
      <c r="E219" t="s">
        <v>568</v>
      </c>
      <c r="F219" s="2">
        <v>46284</v>
      </c>
      <c r="G219">
        <v>8</v>
      </c>
      <c r="H219" t="s">
        <v>599</v>
      </c>
      <c r="I219" t="s">
        <v>600</v>
      </c>
      <c r="J219" t="s">
        <v>601</v>
      </c>
      <c r="K219" t="s">
        <v>491</v>
      </c>
      <c r="L219" t="s">
        <v>602</v>
      </c>
      <c r="M219">
        <v>88</v>
      </c>
      <c r="N219">
        <v>88</v>
      </c>
      <c r="O219" t="s">
        <v>84</v>
      </c>
      <c r="P219">
        <v>1</v>
      </c>
      <c r="Q219">
        <f>N219/P219</f>
      </c>
      <c r="R219" s="1">
        <v>712</v>
      </c>
      <c r="S219" s="1">
        <v>712</v>
      </c>
      <c r="T219">
        <f>IF(R219=S219,"相符","不相符")</f>
      </c>
      <c r="U219" t="s">
        <v>578</v>
      </c>
      <c r="V219">
        <f>P219*R219</f>
      </c>
      <c r="W219">
        <f>Q219*V219</f>
      </c>
      <c r="X219">
        <v>1825</v>
      </c>
      <c r="Y219" t="s">
        <v>565</v>
      </c>
      <c r="Z219" t="s">
        <v>573</v>
      </c>
      <c r="AA219"/>
      <c r="AB219"/>
      <c r="AC219" t="s">
        <v>243</v>
      </c>
      <c r="AD219"/>
    </row>
    <row r="220">
      <c r="A220" t="s">
        <v>30</v>
      </c>
      <c r="B220" t="s">
        <v>254</v>
      </c>
      <c r="C220" t="s">
        <v>603</v>
      </c>
      <c r="D220" t="s">
        <v>604</v>
      </c>
      <c r="E220" t="s">
        <v>605</v>
      </c>
      <c r="F220" s="2">
        <v>46283</v>
      </c>
      <c r="G220">
        <v>1</v>
      </c>
      <c r="H220" t="s">
        <v>264</v>
      </c>
      <c r="I220" t="s">
        <v>265</v>
      </c>
      <c r="J220" t="s">
        <v>266</v>
      </c>
      <c r="K220" t="s">
        <v>258</v>
      </c>
      <c r="L220" t="s">
        <v>267</v>
      </c>
      <c r="M220">
        <v>6545</v>
      </c>
      <c r="N220">
        <v>6545</v>
      </c>
      <c r="O220" t="s">
        <v>197</v>
      </c>
      <c r="P220">
        <v>7</v>
      </c>
      <c r="Q220">
        <f>N220/P220</f>
      </c>
      <c r="R220" s="1">
        <v>92</v>
      </c>
      <c r="S220" s="1">
        <v>92</v>
      </c>
      <c r="T220">
        <f>IF(R220=S220,"相符","不相符")</f>
      </c>
      <c r="U220" t="s">
        <v>268</v>
      </c>
      <c r="V220">
        <f>P220*R220</f>
      </c>
      <c r="W220">
        <f>Q220*V220</f>
      </c>
      <c r="X220">
        <v>1825</v>
      </c>
      <c r="Y220" t="s">
        <v>606</v>
      </c>
      <c r="Z220" t="s">
        <v>607</v>
      </c>
      <c r="AA220"/>
      <c r="AB220"/>
      <c r="AC220" t="s">
        <v>243</v>
      </c>
      <c r="AD220"/>
    </row>
    <row r="221">
      <c r="A221" t="s">
        <v>30</v>
      </c>
      <c r="B221" t="s">
        <v>233</v>
      </c>
      <c r="C221" t="s">
        <v>608</v>
      </c>
      <c r="D221" t="s">
        <v>33</v>
      </c>
      <c r="E221" t="s">
        <v>34</v>
      </c>
      <c r="F221" s="2">
        <v>46294</v>
      </c>
      <c r="G221">
        <v>1</v>
      </c>
      <c r="H221" t="s">
        <v>501</v>
      </c>
      <c r="I221" t="s">
        <v>502</v>
      </c>
      <c r="J221" t="s">
        <v>503</v>
      </c>
      <c r="K221" t="s">
        <v>238</v>
      </c>
      <c r="L221" t="s">
        <v>504</v>
      </c>
      <c r="M221">
        <v>344</v>
      </c>
      <c r="N221">
        <v>344</v>
      </c>
      <c r="O221" t="s">
        <v>177</v>
      </c>
      <c r="P221">
        <v>12</v>
      </c>
      <c r="Q221">
        <f>N221/P221</f>
      </c>
      <c r="R221" s="1">
        <v>75</v>
      </c>
      <c r="S221" s="1">
        <v>75</v>
      </c>
      <c r="T221">
        <f>IF(R221=S221,"相符","不相符")</f>
      </c>
      <c r="U221"/>
      <c r="V221">
        <f>P221*R221</f>
      </c>
      <c r="W221">
        <f>Q221*V221</f>
      </c>
      <c r="X221">
        <v>1095</v>
      </c>
      <c r="Y221" t="s">
        <v>609</v>
      </c>
      <c r="Z221" t="s">
        <v>610</v>
      </c>
      <c r="AA221"/>
      <c r="AB221"/>
      <c r="AC221" t="s">
        <v>243</v>
      </c>
      <c r="AD221"/>
    </row>
    <row r="222">
      <c r="A222" t="s">
        <v>30</v>
      </c>
      <c r="B222" t="s">
        <v>189</v>
      </c>
      <c r="C222" t="s">
        <v>611</v>
      </c>
      <c r="D222" t="s">
        <v>262</v>
      </c>
      <c r="E222" t="s">
        <v>263</v>
      </c>
      <c r="F222" s="2">
        <v>46286</v>
      </c>
      <c r="G222">
        <v>1</v>
      </c>
      <c r="H222" t="s">
        <v>612</v>
      </c>
      <c r="I222" t="s">
        <v>613</v>
      </c>
      <c r="J222" t="s">
        <v>614</v>
      </c>
      <c r="K222" t="s">
        <v>419</v>
      </c>
      <c r="L222" t="s">
        <v>615</v>
      </c>
      <c r="M222">
        <v>613</v>
      </c>
      <c r="N222">
        <v>613</v>
      </c>
      <c r="O222" t="s">
        <v>84</v>
      </c>
      <c r="P222">
        <v>1</v>
      </c>
      <c r="Q222">
        <f>N222/P222</f>
      </c>
      <c r="R222" s="1">
        <v>1231</v>
      </c>
      <c r="S222" s="1">
        <v>1231</v>
      </c>
      <c r="T222">
        <f>IF(R222=S222,"相符","不相符")</f>
      </c>
      <c r="U222"/>
      <c r="V222">
        <f>P222*R222</f>
      </c>
      <c r="W222">
        <f>Q222*V222</f>
      </c>
      <c r="X222">
        <v>1095</v>
      </c>
      <c r="Y222" t="s">
        <v>616</v>
      </c>
      <c r="Z222" t="s">
        <v>203</v>
      </c>
      <c r="AA222"/>
      <c r="AB222"/>
      <c r="AC222" t="s">
        <v>49</v>
      </c>
      <c r="AD222"/>
    </row>
    <row r="223">
      <c r="A223" t="s">
        <v>30</v>
      </c>
      <c r="B223" t="s">
        <v>189</v>
      </c>
      <c r="C223" t="s">
        <v>611</v>
      </c>
      <c r="D223" t="s">
        <v>262</v>
      </c>
      <c r="E223" t="s">
        <v>263</v>
      </c>
      <c r="F223" s="2">
        <v>46286</v>
      </c>
      <c r="G223">
        <v>2</v>
      </c>
      <c r="H223" t="s">
        <v>617</v>
      </c>
      <c r="I223" t="s">
        <v>618</v>
      </c>
      <c r="J223" t="s">
        <v>619</v>
      </c>
      <c r="K223" t="s">
        <v>419</v>
      </c>
      <c r="L223" t="s">
        <v>620</v>
      </c>
      <c r="M223">
        <v>489</v>
      </c>
      <c r="N223">
        <v>489</v>
      </c>
      <c r="O223" t="s">
        <v>84</v>
      </c>
      <c r="P223">
        <v>1</v>
      </c>
      <c r="Q223">
        <f>N223/P223</f>
      </c>
      <c r="R223" s="1">
        <v>1231</v>
      </c>
      <c r="S223" s="1">
        <v>1231</v>
      </c>
      <c r="T223">
        <f>IF(R223=S223,"相符","不相符")</f>
      </c>
      <c r="U223"/>
      <c r="V223">
        <f>P223*R223</f>
      </c>
      <c r="W223">
        <f>Q223*V223</f>
      </c>
      <c r="X223">
        <v>1095</v>
      </c>
      <c r="Y223" t="s">
        <v>616</v>
      </c>
      <c r="Z223" t="s">
        <v>203</v>
      </c>
      <c r="AA223"/>
      <c r="AB223"/>
      <c r="AC223" t="s">
        <v>49</v>
      </c>
      <c r="AD223"/>
    </row>
    <row r="224">
      <c r="A224" t="s">
        <v>30</v>
      </c>
      <c r="B224" t="s">
        <v>189</v>
      </c>
      <c r="C224" t="s">
        <v>611</v>
      </c>
      <c r="D224" t="s">
        <v>262</v>
      </c>
      <c r="E224" t="s">
        <v>263</v>
      </c>
      <c r="F224" s="2">
        <v>46286</v>
      </c>
      <c r="G224">
        <v>3</v>
      </c>
      <c r="H224" t="s">
        <v>621</v>
      </c>
      <c r="I224" t="s">
        <v>622</v>
      </c>
      <c r="J224" t="s">
        <v>623</v>
      </c>
      <c r="K224" t="s">
        <v>419</v>
      </c>
      <c r="L224" t="s">
        <v>624</v>
      </c>
      <c r="M224">
        <v>300</v>
      </c>
      <c r="N224">
        <v>300</v>
      </c>
      <c r="O224" t="s">
        <v>84</v>
      </c>
      <c r="P224">
        <v>1</v>
      </c>
      <c r="Q224">
        <f>N224/P224</f>
      </c>
      <c r="R224" s="1">
        <v>806</v>
      </c>
      <c r="S224" s="1">
        <v>806</v>
      </c>
      <c r="T224">
        <f>IF(R224=S224,"相符","不相符")</f>
      </c>
      <c r="U224"/>
      <c r="V224">
        <f>P224*R224</f>
      </c>
      <c r="W224">
        <f>Q224*V224</f>
      </c>
      <c r="X224">
        <v>1095</v>
      </c>
      <c r="Y224" t="s">
        <v>625</v>
      </c>
      <c r="Z224" t="s">
        <v>203</v>
      </c>
      <c r="AA224"/>
      <c r="AB224"/>
      <c r="AC224" t="s">
        <v>49</v>
      </c>
      <c r="AD224"/>
    </row>
    <row r="225">
      <c r="A225" t="s">
        <v>30</v>
      </c>
      <c r="B225" t="s">
        <v>189</v>
      </c>
      <c r="C225" t="s">
        <v>611</v>
      </c>
      <c r="D225" t="s">
        <v>262</v>
      </c>
      <c r="E225" t="s">
        <v>263</v>
      </c>
      <c r="F225" s="2">
        <v>46286</v>
      </c>
      <c r="G225">
        <v>4</v>
      </c>
      <c r="H225" t="s">
        <v>626</v>
      </c>
      <c r="I225" t="s">
        <v>627</v>
      </c>
      <c r="J225" t="s">
        <v>628</v>
      </c>
      <c r="K225" t="s">
        <v>419</v>
      </c>
      <c r="L225" t="s">
        <v>629</v>
      </c>
      <c r="M225">
        <v>109</v>
      </c>
      <c r="N225">
        <v>109</v>
      </c>
      <c r="O225" t="s">
        <v>84</v>
      </c>
      <c r="P225">
        <v>1</v>
      </c>
      <c r="Q225">
        <f>N225/P225</f>
      </c>
      <c r="R225" s="1">
        <v>1150</v>
      </c>
      <c r="S225" s="1">
        <v>1150</v>
      </c>
      <c r="T225">
        <f>IF(R225=S225,"相符","不相符")</f>
      </c>
      <c r="U225"/>
      <c r="V225">
        <f>P225*R225</f>
      </c>
      <c r="W225">
        <f>Q225*V225</f>
      </c>
      <c r="X225">
        <v>1095</v>
      </c>
      <c r="Y225" t="s">
        <v>616</v>
      </c>
      <c r="Z225" t="s">
        <v>203</v>
      </c>
      <c r="AA225"/>
      <c r="AB225"/>
      <c r="AC225" t="s">
        <v>49</v>
      </c>
      <c r="AD225"/>
    </row>
    <row r="226">
      <c r="A226" t="s">
        <v>30</v>
      </c>
      <c r="B226" t="s">
        <v>189</v>
      </c>
      <c r="C226" t="s">
        <v>630</v>
      </c>
      <c r="D226" t="s">
        <v>262</v>
      </c>
      <c r="E226" t="s">
        <v>263</v>
      </c>
      <c r="F226" s="2">
        <v>46286</v>
      </c>
      <c r="G226">
        <v>1</v>
      </c>
      <c r="H226" t="s">
        <v>612</v>
      </c>
      <c r="I226" t="s">
        <v>613</v>
      </c>
      <c r="J226" t="s">
        <v>614</v>
      </c>
      <c r="K226" t="s">
        <v>419</v>
      </c>
      <c r="L226" t="s">
        <v>615</v>
      </c>
      <c r="M226">
        <v>88</v>
      </c>
      <c r="N226">
        <v>88</v>
      </c>
      <c r="O226" t="s">
        <v>84</v>
      </c>
      <c r="P226">
        <v>1</v>
      </c>
      <c r="Q226">
        <f>N226/P226</f>
      </c>
      <c r="R226" s="1">
        <v>1231</v>
      </c>
      <c r="S226" s="1">
        <v>1231</v>
      </c>
      <c r="T226">
        <f>IF(R226=S226,"相符","不相符")</f>
      </c>
      <c r="U226"/>
      <c r="V226">
        <f>P226*R226</f>
      </c>
      <c r="W226">
        <f>Q226*V226</f>
      </c>
      <c r="X226">
        <v>1095</v>
      </c>
      <c r="Y226" t="s">
        <v>616</v>
      </c>
      <c r="Z226" t="s">
        <v>631</v>
      </c>
      <c r="AA226"/>
      <c r="AB226"/>
      <c r="AC226" t="s">
        <v>49</v>
      </c>
      <c r="AD226"/>
    </row>
    <row r="227">
      <c r="A227" t="s">
        <v>30</v>
      </c>
      <c r="B227" t="s">
        <v>189</v>
      </c>
      <c r="C227" t="s">
        <v>630</v>
      </c>
      <c r="D227" t="s">
        <v>262</v>
      </c>
      <c r="E227" t="s">
        <v>263</v>
      </c>
      <c r="F227" s="2">
        <v>46286</v>
      </c>
      <c r="G227">
        <v>2</v>
      </c>
      <c r="H227" t="s">
        <v>632</v>
      </c>
      <c r="I227" t="s">
        <v>633</v>
      </c>
      <c r="J227" t="s">
        <v>634</v>
      </c>
      <c r="K227" t="s">
        <v>419</v>
      </c>
      <c r="L227" t="s">
        <v>635</v>
      </c>
      <c r="M227">
        <v>137</v>
      </c>
      <c r="N227">
        <v>137</v>
      </c>
      <c r="O227" t="s">
        <v>84</v>
      </c>
      <c r="P227">
        <v>1</v>
      </c>
      <c r="Q227">
        <f>N227/P227</f>
      </c>
      <c r="R227" s="1">
        <v>1231</v>
      </c>
      <c r="S227" s="1">
        <v>1231</v>
      </c>
      <c r="T227">
        <f>IF(R227=S227,"相符","不相符")</f>
      </c>
      <c r="U227"/>
      <c r="V227">
        <f>P227*R227</f>
      </c>
      <c r="W227">
        <f>Q227*V227</f>
      </c>
      <c r="X227">
        <v>1095</v>
      </c>
      <c r="Y227" t="s">
        <v>616</v>
      </c>
      <c r="Z227" t="s">
        <v>631</v>
      </c>
      <c r="AA227"/>
      <c r="AB227"/>
      <c r="AC227" t="s">
        <v>49</v>
      </c>
      <c r="AD227"/>
    </row>
    <row r="228">
      <c r="A228" t="s">
        <v>30</v>
      </c>
      <c r="B228" t="s">
        <v>189</v>
      </c>
      <c r="C228" t="s">
        <v>630</v>
      </c>
      <c r="D228" t="s">
        <v>262</v>
      </c>
      <c r="E228" t="s">
        <v>263</v>
      </c>
      <c r="F228" s="2">
        <v>46286</v>
      </c>
      <c r="G228">
        <v>3</v>
      </c>
      <c r="H228" t="s">
        <v>636</v>
      </c>
      <c r="I228" t="s">
        <v>637</v>
      </c>
      <c r="J228" t="s">
        <v>638</v>
      </c>
      <c r="K228" t="s">
        <v>639</v>
      </c>
      <c r="L228" t="s">
        <v>640</v>
      </c>
      <c r="M228">
        <v>50</v>
      </c>
      <c r="N228">
        <v>50</v>
      </c>
      <c r="O228" t="s">
        <v>84</v>
      </c>
      <c r="P228">
        <v>1</v>
      </c>
      <c r="Q228">
        <f>N228/P228</f>
      </c>
      <c r="R228" s="1">
        <v>1158</v>
      </c>
      <c r="S228" s="1">
        <v>1158</v>
      </c>
      <c r="T228">
        <f>IF(R228=S228,"相符","不相符")</f>
      </c>
      <c r="U228"/>
      <c r="V228">
        <f>P228*R228</f>
      </c>
      <c r="W228">
        <f>Q228*V228</f>
      </c>
      <c r="X228">
        <v>730</v>
      </c>
      <c r="Y228" t="s">
        <v>641</v>
      </c>
      <c r="Z228" t="s">
        <v>631</v>
      </c>
      <c r="AA228"/>
      <c r="AB228"/>
      <c r="AC228" t="s">
        <v>49</v>
      </c>
      <c r="AD228"/>
    </row>
    <row r="229">
      <c r="A229" t="s">
        <v>30</v>
      </c>
      <c r="B229" t="s">
        <v>189</v>
      </c>
      <c r="C229" t="s">
        <v>642</v>
      </c>
      <c r="D229" t="s">
        <v>191</v>
      </c>
      <c r="E229" t="s">
        <v>192</v>
      </c>
      <c r="F229" s="2">
        <v>46286</v>
      </c>
      <c r="G229">
        <v>1</v>
      </c>
      <c r="H229" t="s">
        <v>643</v>
      </c>
      <c r="I229" t="s">
        <v>644</v>
      </c>
      <c r="J229" t="s">
        <v>644</v>
      </c>
      <c r="K229" t="s">
        <v>419</v>
      </c>
      <c r="L229" t="s">
        <v>645</v>
      </c>
      <c r="M229">
        <v>256</v>
      </c>
      <c r="N229">
        <v>256</v>
      </c>
      <c r="O229" t="s">
        <v>177</v>
      </c>
      <c r="P229">
        <v>4</v>
      </c>
      <c r="Q229">
        <f>N229/P229</f>
      </c>
      <c r="R229" s="1">
        <v>339</v>
      </c>
      <c r="S229" s="1">
        <v>339</v>
      </c>
      <c r="T229">
        <f>IF(R229=S229,"相符","不相符")</f>
      </c>
      <c r="U229"/>
      <c r="V229">
        <f>P229*R229</f>
      </c>
      <c r="W229">
        <f>Q229*V229</f>
      </c>
      <c r="X229">
        <v>1095</v>
      </c>
      <c r="Y229" t="s">
        <v>616</v>
      </c>
      <c r="Z229" t="s">
        <v>203</v>
      </c>
      <c r="AA229"/>
      <c r="AB229"/>
      <c r="AC229" t="s">
        <v>49</v>
      </c>
      <c r="AD229"/>
    </row>
    <row r="230">
      <c r="A230" t="s">
        <v>30</v>
      </c>
      <c r="B230" t="s">
        <v>189</v>
      </c>
      <c r="C230" t="s">
        <v>642</v>
      </c>
      <c r="D230" t="s">
        <v>191</v>
      </c>
      <c r="E230" t="s">
        <v>192</v>
      </c>
      <c r="F230" s="2">
        <v>46286</v>
      </c>
      <c r="G230">
        <v>2</v>
      </c>
      <c r="H230" t="s">
        <v>646</v>
      </c>
      <c r="I230" t="s">
        <v>614</v>
      </c>
      <c r="J230" t="s">
        <v>614</v>
      </c>
      <c r="K230" t="s">
        <v>419</v>
      </c>
      <c r="L230" t="s">
        <v>647</v>
      </c>
      <c r="M230">
        <v>1168</v>
      </c>
      <c r="N230">
        <v>1168</v>
      </c>
      <c r="O230" t="s">
        <v>177</v>
      </c>
      <c r="P230">
        <v>4</v>
      </c>
      <c r="Q230">
        <f>N230/P230</f>
      </c>
      <c r="R230" s="1">
        <v>339</v>
      </c>
      <c r="S230" s="1">
        <v>339</v>
      </c>
      <c r="T230">
        <f>IF(R230=S230,"相符","不相符")</f>
      </c>
      <c r="U230"/>
      <c r="V230">
        <f>P230*R230</f>
      </c>
      <c r="W230">
        <f>Q230*V230</f>
      </c>
      <c r="X230">
        <v>1095</v>
      </c>
      <c r="Y230" t="s">
        <v>616</v>
      </c>
      <c r="Z230" t="s">
        <v>203</v>
      </c>
      <c r="AA230"/>
      <c r="AB230"/>
      <c r="AC230" t="s">
        <v>49</v>
      </c>
      <c r="AD230"/>
    </row>
    <row r="231">
      <c r="A231" t="s">
        <v>30</v>
      </c>
      <c r="B231" t="s">
        <v>189</v>
      </c>
      <c r="C231" t="s">
        <v>642</v>
      </c>
      <c r="D231" t="s">
        <v>191</v>
      </c>
      <c r="E231" t="s">
        <v>192</v>
      </c>
      <c r="F231" s="2">
        <v>46286</v>
      </c>
      <c r="G231">
        <v>3</v>
      </c>
      <c r="H231" t="s">
        <v>648</v>
      </c>
      <c r="I231" t="s">
        <v>649</v>
      </c>
      <c r="J231" t="s">
        <v>649</v>
      </c>
      <c r="K231" t="s">
        <v>419</v>
      </c>
      <c r="L231" t="s">
        <v>650</v>
      </c>
      <c r="M231">
        <v>3072</v>
      </c>
      <c r="N231">
        <v>3072</v>
      </c>
      <c r="O231" t="s">
        <v>177</v>
      </c>
      <c r="P231">
        <v>4</v>
      </c>
      <c r="Q231">
        <f>N231/P231</f>
      </c>
      <c r="R231" s="1">
        <v>323</v>
      </c>
      <c r="S231" s="1">
        <v>323</v>
      </c>
      <c r="T231">
        <f>IF(R231=S231,"相符","不相符")</f>
      </c>
      <c r="U231"/>
      <c r="V231">
        <f>P231*R231</f>
      </c>
      <c r="W231">
        <f>Q231*V231</f>
      </c>
      <c r="X231">
        <v>1095</v>
      </c>
      <c r="Y231" t="s">
        <v>616</v>
      </c>
      <c r="Z231" t="s">
        <v>203</v>
      </c>
      <c r="AA231"/>
      <c r="AB231"/>
      <c r="AC231" t="s">
        <v>49</v>
      </c>
      <c r="AD231"/>
    </row>
    <row r="232">
      <c r="A232" t="s">
        <v>30</v>
      </c>
      <c r="B232" t="s">
        <v>189</v>
      </c>
      <c r="C232" t="s">
        <v>642</v>
      </c>
      <c r="D232" t="s">
        <v>191</v>
      </c>
      <c r="E232" t="s">
        <v>192</v>
      </c>
      <c r="F232" s="2">
        <v>46286</v>
      </c>
      <c r="G232">
        <v>4</v>
      </c>
      <c r="H232" t="s">
        <v>460</v>
      </c>
      <c r="I232" t="s">
        <v>461</v>
      </c>
      <c r="J232" t="s">
        <v>461</v>
      </c>
      <c r="K232" t="s">
        <v>419</v>
      </c>
      <c r="L232" t="s">
        <v>462</v>
      </c>
      <c r="M232">
        <v>948</v>
      </c>
      <c r="N232">
        <v>948</v>
      </c>
      <c r="O232" t="s">
        <v>177</v>
      </c>
      <c r="P232">
        <v>4</v>
      </c>
      <c r="Q232">
        <f>N232/P232</f>
      </c>
      <c r="R232" s="1">
        <v>323</v>
      </c>
      <c r="S232" s="1">
        <v>323</v>
      </c>
      <c r="T232">
        <f>IF(R232=S232,"相符","不相符")</f>
      </c>
      <c r="U232"/>
      <c r="V232">
        <f>P232*R232</f>
      </c>
      <c r="W232">
        <f>Q232*V232</f>
      </c>
      <c r="X232">
        <v>1095</v>
      </c>
      <c r="Y232" t="s">
        <v>616</v>
      </c>
      <c r="Z232" t="s">
        <v>203</v>
      </c>
      <c r="AA232"/>
      <c r="AB232"/>
      <c r="AC232" t="s">
        <v>49</v>
      </c>
      <c r="AD232"/>
    </row>
    <row r="233">
      <c r="A233" t="s">
        <v>30</v>
      </c>
      <c r="B233" t="s">
        <v>189</v>
      </c>
      <c r="C233" t="s">
        <v>651</v>
      </c>
      <c r="D233" t="s">
        <v>262</v>
      </c>
      <c r="E233" t="s">
        <v>263</v>
      </c>
      <c r="F233" s="2">
        <v>46286</v>
      </c>
      <c r="G233">
        <v>1</v>
      </c>
      <c r="H233" t="s">
        <v>429</v>
      </c>
      <c r="I233" t="s">
        <v>430</v>
      </c>
      <c r="J233" t="s">
        <v>430</v>
      </c>
      <c r="K233" t="s">
        <v>426</v>
      </c>
      <c r="L233" t="s">
        <v>431</v>
      </c>
      <c r="M233">
        <v>552</v>
      </c>
      <c r="N233">
        <v>552</v>
      </c>
      <c r="O233" t="s">
        <v>240</v>
      </c>
      <c r="P233">
        <v>12</v>
      </c>
      <c r="Q233">
        <f>N233/P233</f>
      </c>
      <c r="R233" s="1">
        <v>106</v>
      </c>
      <c r="S233" s="1">
        <v>106</v>
      </c>
      <c r="T233">
        <f>IF(R233=S233,"相符","不相符")</f>
      </c>
      <c r="U233"/>
      <c r="V233">
        <f>P233*R233</f>
      </c>
      <c r="W233">
        <f>Q233*V233</f>
      </c>
      <c r="X233">
        <v>540</v>
      </c>
      <c r="Y233" t="s">
        <v>652</v>
      </c>
      <c r="Z233" t="s">
        <v>653</v>
      </c>
      <c r="AA233"/>
      <c r="AB233"/>
      <c r="AC233" t="s">
        <v>49</v>
      </c>
      <c r="AD233"/>
    </row>
    <row r="234">
      <c r="A234" t="s">
        <v>30</v>
      </c>
      <c r="B234" t="s">
        <v>189</v>
      </c>
      <c r="C234" t="s">
        <v>651</v>
      </c>
      <c r="D234" t="s">
        <v>262</v>
      </c>
      <c r="E234" t="s">
        <v>263</v>
      </c>
      <c r="F234" s="2">
        <v>46286</v>
      </c>
      <c r="G234">
        <v>2</v>
      </c>
      <c r="H234" t="s">
        <v>439</v>
      </c>
      <c r="I234" t="s">
        <v>440</v>
      </c>
      <c r="J234" t="s">
        <v>440</v>
      </c>
      <c r="K234" t="s">
        <v>426</v>
      </c>
      <c r="L234" t="s">
        <v>441</v>
      </c>
      <c r="M234">
        <v>3000</v>
      </c>
      <c r="N234">
        <v>3000</v>
      </c>
      <c r="O234" t="s">
        <v>240</v>
      </c>
      <c r="P234">
        <v>12</v>
      </c>
      <c r="Q234">
        <f>N234/P234</f>
      </c>
      <c r="R234" s="1">
        <v>224</v>
      </c>
      <c r="S234" s="1">
        <v>224</v>
      </c>
      <c r="T234">
        <f>IF(R234=S234,"相符","不相符")</f>
      </c>
      <c r="U234"/>
      <c r="V234">
        <f>P234*R234</f>
      </c>
      <c r="W234">
        <f>Q234*V234</f>
      </c>
      <c r="X234">
        <v>730</v>
      </c>
      <c r="Y234" t="s">
        <v>654</v>
      </c>
      <c r="Z234" t="s">
        <v>653</v>
      </c>
      <c r="AA234"/>
      <c r="AB234"/>
      <c r="AC234" t="s">
        <v>49</v>
      </c>
      <c r="AD234"/>
    </row>
    <row r="235">
      <c r="A235" t="s">
        <v>30</v>
      </c>
      <c r="B235" t="s">
        <v>189</v>
      </c>
      <c r="C235" t="s">
        <v>651</v>
      </c>
      <c r="D235" t="s">
        <v>262</v>
      </c>
      <c r="E235" t="s">
        <v>263</v>
      </c>
      <c r="F235" s="2">
        <v>46286</v>
      </c>
      <c r="G235">
        <v>3</v>
      </c>
      <c r="H235" t="s">
        <v>655</v>
      </c>
      <c r="I235" t="s">
        <v>656</v>
      </c>
      <c r="J235" t="s">
        <v>656</v>
      </c>
      <c r="K235" t="s">
        <v>657</v>
      </c>
      <c r="L235" t="s">
        <v>658</v>
      </c>
      <c r="M235">
        <v>3000</v>
      </c>
      <c r="N235">
        <v>3000</v>
      </c>
      <c r="O235" t="s">
        <v>240</v>
      </c>
      <c r="P235">
        <v>6</v>
      </c>
      <c r="Q235">
        <f>N235/P235</f>
      </c>
      <c r="R235" s="1">
        <v>112</v>
      </c>
      <c r="S235" s="1">
        <v>112</v>
      </c>
      <c r="T235">
        <f>IF(R235=S235,"相符","不相符")</f>
      </c>
      <c r="U235"/>
      <c r="V235">
        <f>P235*R235</f>
      </c>
      <c r="W235">
        <f>Q235*V235</f>
      </c>
      <c r="X235">
        <v>1825</v>
      </c>
      <c r="Y235" t="s">
        <v>616</v>
      </c>
      <c r="Z235" t="s">
        <v>653</v>
      </c>
      <c r="AA235"/>
      <c r="AB235"/>
      <c r="AC235" t="s">
        <v>49</v>
      </c>
      <c r="AD235"/>
    </row>
    <row r="236">
      <c r="A236" t="s">
        <v>30</v>
      </c>
      <c r="B236" t="s">
        <v>189</v>
      </c>
      <c r="C236" t="s">
        <v>651</v>
      </c>
      <c r="D236" t="s">
        <v>262</v>
      </c>
      <c r="E236" t="s">
        <v>263</v>
      </c>
      <c r="F236" s="2">
        <v>46286</v>
      </c>
      <c r="G236">
        <v>4</v>
      </c>
      <c r="H236" t="s">
        <v>659</v>
      </c>
      <c r="I236" t="s">
        <v>660</v>
      </c>
      <c r="J236" t="s">
        <v>660</v>
      </c>
      <c r="K236" t="s">
        <v>457</v>
      </c>
      <c r="L236" t="s">
        <v>661</v>
      </c>
      <c r="M236">
        <v>1020</v>
      </c>
      <c r="N236">
        <v>1020</v>
      </c>
      <c r="O236" t="s">
        <v>240</v>
      </c>
      <c r="P236">
        <v>6</v>
      </c>
      <c r="Q236">
        <f>N236/P236</f>
      </c>
      <c r="R236" s="1">
        <v>183</v>
      </c>
      <c r="S236" s="1">
        <v>174</v>
      </c>
      <c r="T236">
        <f>IF(R236=S236,"相符","不相符")</f>
      </c>
      <c r="U236"/>
      <c r="V236">
        <f>P236*R236</f>
      </c>
      <c r="W236">
        <f>Q236*V236</f>
      </c>
      <c r="X236">
        <v>730</v>
      </c>
      <c r="Y236" t="s">
        <v>641</v>
      </c>
      <c r="Z236" t="s">
        <v>653</v>
      </c>
      <c r="AA236"/>
      <c r="AB236"/>
      <c r="AC236" t="s">
        <v>49</v>
      </c>
      <c r="AD236"/>
    </row>
    <row r="237">
      <c r="A237" t="s">
        <v>30</v>
      </c>
      <c r="B237" t="s">
        <v>189</v>
      </c>
      <c r="C237" t="s">
        <v>651</v>
      </c>
      <c r="D237" t="s">
        <v>262</v>
      </c>
      <c r="E237" t="s">
        <v>263</v>
      </c>
      <c r="F237" s="2">
        <v>46286</v>
      </c>
      <c r="G237">
        <v>5</v>
      </c>
      <c r="H237" t="s">
        <v>662</v>
      </c>
      <c r="I237" t="s">
        <v>663</v>
      </c>
      <c r="J237" t="s">
        <v>663</v>
      </c>
      <c r="K237" t="s">
        <v>457</v>
      </c>
      <c r="L237" t="s">
        <v>664</v>
      </c>
      <c r="M237">
        <v>702</v>
      </c>
      <c r="N237">
        <v>702</v>
      </c>
      <c r="O237" t="s">
        <v>240</v>
      </c>
      <c r="P237">
        <v>6</v>
      </c>
      <c r="Q237">
        <f>N237/P237</f>
      </c>
      <c r="R237" s="1">
        <v>183</v>
      </c>
      <c r="S237" s="1">
        <v>174</v>
      </c>
      <c r="T237">
        <f>IF(R237=S237,"相符","不相符")</f>
      </c>
      <c r="U237"/>
      <c r="V237">
        <f>P237*R237</f>
      </c>
      <c r="W237">
        <f>Q237*V237</f>
      </c>
      <c r="X237">
        <v>730</v>
      </c>
      <c r="Y237" t="s">
        <v>641</v>
      </c>
      <c r="Z237" t="s">
        <v>653</v>
      </c>
      <c r="AA237"/>
      <c r="AB237"/>
      <c r="AC237" t="s">
        <v>49</v>
      </c>
      <c r="AD237"/>
    </row>
    <row r="238">
      <c r="A238" t="s">
        <v>30</v>
      </c>
      <c r="B238" t="s">
        <v>189</v>
      </c>
      <c r="C238" t="s">
        <v>651</v>
      </c>
      <c r="D238" t="s">
        <v>262</v>
      </c>
      <c r="E238" t="s">
        <v>263</v>
      </c>
      <c r="F238" s="2">
        <v>46286</v>
      </c>
      <c r="G238">
        <v>6</v>
      </c>
      <c r="H238" t="s">
        <v>665</v>
      </c>
      <c r="I238" t="s">
        <v>666</v>
      </c>
      <c r="J238" t="s">
        <v>666</v>
      </c>
      <c r="K238" t="s">
        <v>419</v>
      </c>
      <c r="L238" t="s">
        <v>667</v>
      </c>
      <c r="M238">
        <v>1500</v>
      </c>
      <c r="N238">
        <v>1500</v>
      </c>
      <c r="O238" t="s">
        <v>177</v>
      </c>
      <c r="P238">
        <v>4</v>
      </c>
      <c r="Q238">
        <f>N238/P238</f>
      </c>
      <c r="R238" s="1">
        <v>323</v>
      </c>
      <c r="S238" s="1">
        <v>323</v>
      </c>
      <c r="T238">
        <f>IF(R238=S238,"相符","不相符")</f>
      </c>
      <c r="U238"/>
      <c r="V238">
        <f>P238*R238</f>
      </c>
      <c r="W238">
        <f>Q238*V238</f>
      </c>
      <c r="X238">
        <v>1095</v>
      </c>
      <c r="Y238" t="s">
        <v>616</v>
      </c>
      <c r="Z238" t="s">
        <v>653</v>
      </c>
      <c r="AA238"/>
      <c r="AB238"/>
      <c r="AC238" t="s">
        <v>49</v>
      </c>
      <c r="AD238"/>
    </row>
    <row r="239">
      <c r="A239" t="s">
        <v>30</v>
      </c>
      <c r="B239" t="s">
        <v>189</v>
      </c>
      <c r="C239" t="s">
        <v>651</v>
      </c>
      <c r="D239" t="s">
        <v>262</v>
      </c>
      <c r="E239" t="s">
        <v>263</v>
      </c>
      <c r="F239" s="2">
        <v>46286</v>
      </c>
      <c r="G239">
        <v>7</v>
      </c>
      <c r="H239" t="s">
        <v>668</v>
      </c>
      <c r="I239" t="s">
        <v>619</v>
      </c>
      <c r="J239" t="s">
        <v>619</v>
      </c>
      <c r="K239" t="s">
        <v>419</v>
      </c>
      <c r="L239" t="s">
        <v>669</v>
      </c>
      <c r="M239">
        <v>600</v>
      </c>
      <c r="N239">
        <v>600</v>
      </c>
      <c r="O239" t="s">
        <v>177</v>
      </c>
      <c r="P239">
        <v>4</v>
      </c>
      <c r="Q239">
        <f>N239/P239</f>
      </c>
      <c r="R239" s="1">
        <v>339</v>
      </c>
      <c r="S239" s="1">
        <v>339</v>
      </c>
      <c r="T239">
        <f>IF(R239=S239,"相符","不相符")</f>
      </c>
      <c r="U239"/>
      <c r="V239">
        <f>P239*R239</f>
      </c>
      <c r="W239">
        <f>Q239*V239</f>
      </c>
      <c r="X239">
        <v>1095</v>
      </c>
      <c r="Y239" t="s">
        <v>616</v>
      </c>
      <c r="Z239" t="s">
        <v>653</v>
      </c>
      <c r="AA239"/>
      <c r="AB239"/>
      <c r="AC239" t="s">
        <v>49</v>
      </c>
      <c r="AD239"/>
    </row>
    <row r="240">
      <c r="A240" t="s">
        <v>30</v>
      </c>
      <c r="B240" t="s">
        <v>189</v>
      </c>
      <c r="C240" t="s">
        <v>651</v>
      </c>
      <c r="D240" t="s">
        <v>262</v>
      </c>
      <c r="E240" t="s">
        <v>263</v>
      </c>
      <c r="F240" s="2">
        <v>46286</v>
      </c>
      <c r="G240">
        <v>8</v>
      </c>
      <c r="H240" t="s">
        <v>670</v>
      </c>
      <c r="I240" t="s">
        <v>671</v>
      </c>
      <c r="J240" t="s">
        <v>671</v>
      </c>
      <c r="K240" t="s">
        <v>639</v>
      </c>
      <c r="L240" t="s">
        <v>672</v>
      </c>
      <c r="M240">
        <v>710</v>
      </c>
      <c r="N240">
        <v>710</v>
      </c>
      <c r="O240" t="s">
        <v>197</v>
      </c>
      <c r="P240">
        <v>10</v>
      </c>
      <c r="Q240">
        <f>N240/P240</f>
      </c>
      <c r="R240" s="1">
        <v>208</v>
      </c>
      <c r="S240" s="1">
        <v>208</v>
      </c>
      <c r="T240">
        <f>IF(R240=S240,"相符","不相符")</f>
      </c>
      <c r="U240"/>
      <c r="V240">
        <f>P240*R240</f>
      </c>
      <c r="W240">
        <f>Q240*V240</f>
      </c>
      <c r="X240">
        <v>540</v>
      </c>
      <c r="Y240" t="s">
        <v>673</v>
      </c>
      <c r="Z240" t="s">
        <v>653</v>
      </c>
      <c r="AA240"/>
      <c r="AB240"/>
      <c r="AC240" t="s">
        <v>49</v>
      </c>
      <c r="AD240"/>
    </row>
    <row r="241">
      <c r="A241" t="s">
        <v>30</v>
      </c>
      <c r="B241" t="s">
        <v>189</v>
      </c>
      <c r="C241" t="s">
        <v>651</v>
      </c>
      <c r="D241" t="s">
        <v>262</v>
      </c>
      <c r="E241" t="s">
        <v>263</v>
      </c>
      <c r="F241" s="2">
        <v>46286</v>
      </c>
      <c r="G241">
        <v>9</v>
      </c>
      <c r="H241" t="s">
        <v>674</v>
      </c>
      <c r="I241" t="s">
        <v>675</v>
      </c>
      <c r="J241" t="s">
        <v>675</v>
      </c>
      <c r="K241" t="s">
        <v>195</v>
      </c>
      <c r="L241" t="s">
        <v>676</v>
      </c>
      <c r="M241">
        <v>2466</v>
      </c>
      <c r="N241">
        <v>2466</v>
      </c>
      <c r="O241" t="s">
        <v>197</v>
      </c>
      <c r="P241">
        <v>6</v>
      </c>
      <c r="Q241">
        <f>N241/P241</f>
      </c>
      <c r="R241" s="1">
        <v>177</v>
      </c>
      <c r="S241" s="1">
        <v>177</v>
      </c>
      <c r="T241">
        <f>IF(R241=S241,"相符","不相符")</f>
      </c>
      <c r="U241"/>
      <c r="V241">
        <f>P241*R241</f>
      </c>
      <c r="W241">
        <f>Q241*V241</f>
      </c>
      <c r="X241">
        <v>1095</v>
      </c>
      <c r="Y241" t="s">
        <v>616</v>
      </c>
      <c r="Z241" t="s">
        <v>653</v>
      </c>
      <c r="AA241"/>
      <c r="AB241"/>
      <c r="AC241" t="s">
        <v>49</v>
      </c>
      <c r="AD241"/>
    </row>
    <row r="242">
      <c r="A242" t="s">
        <v>30</v>
      </c>
      <c r="B242" t="s">
        <v>189</v>
      </c>
      <c r="C242" t="s">
        <v>651</v>
      </c>
      <c r="D242" t="s">
        <v>262</v>
      </c>
      <c r="E242" t="s">
        <v>263</v>
      </c>
      <c r="F242" s="2">
        <v>46286</v>
      </c>
      <c r="G242">
        <v>10</v>
      </c>
      <c r="H242" t="s">
        <v>677</v>
      </c>
      <c r="I242" t="s">
        <v>678</v>
      </c>
      <c r="J242" t="s">
        <v>678</v>
      </c>
      <c r="K242" t="s">
        <v>195</v>
      </c>
      <c r="L242" t="s">
        <v>679</v>
      </c>
      <c r="M242">
        <v>1200</v>
      </c>
      <c r="N242">
        <v>1200</v>
      </c>
      <c r="O242" t="s">
        <v>197</v>
      </c>
      <c r="P242">
        <v>12</v>
      </c>
      <c r="Q242">
        <f>N242/P242</f>
      </c>
      <c r="R242" s="1">
        <v>131</v>
      </c>
      <c r="S242" s="1">
        <v>131</v>
      </c>
      <c r="T242">
        <f>IF(R242=S242,"相符","不相符")</f>
      </c>
      <c r="U242"/>
      <c r="V242">
        <f>P242*R242</f>
      </c>
      <c r="W242">
        <f>Q242*V242</f>
      </c>
      <c r="X242">
        <v>1095</v>
      </c>
      <c r="Y242" t="s">
        <v>616</v>
      </c>
      <c r="Z242" t="s">
        <v>653</v>
      </c>
      <c r="AA242"/>
      <c r="AB242"/>
      <c r="AC242" t="s">
        <v>49</v>
      </c>
      <c r="AD242"/>
    </row>
    <row r="243">
      <c r="A243" t="s">
        <v>30</v>
      </c>
      <c r="B243" t="s">
        <v>189</v>
      </c>
      <c r="C243" t="s">
        <v>651</v>
      </c>
      <c r="D243" t="s">
        <v>262</v>
      </c>
      <c r="E243" t="s">
        <v>263</v>
      </c>
      <c r="F243" s="2">
        <v>46286</v>
      </c>
      <c r="G243">
        <v>11</v>
      </c>
      <c r="H243" t="s">
        <v>680</v>
      </c>
      <c r="I243" t="s">
        <v>681</v>
      </c>
      <c r="J243" t="s">
        <v>681</v>
      </c>
      <c r="K243" t="s">
        <v>195</v>
      </c>
      <c r="L243" t="s">
        <v>682</v>
      </c>
      <c r="M243">
        <v>200</v>
      </c>
      <c r="N243">
        <v>200</v>
      </c>
      <c r="O243" t="s">
        <v>683</v>
      </c>
      <c r="P243">
        <v>1</v>
      </c>
      <c r="Q243">
        <f>N243/P243</f>
      </c>
      <c r="R243" s="1">
        <v>495</v>
      </c>
      <c r="S243" s="1">
        <v>495</v>
      </c>
      <c r="T243">
        <f>IF(R243=S243,"相符","不相符")</f>
      </c>
      <c r="U243"/>
      <c r="V243">
        <f>P243*R243</f>
      </c>
      <c r="W243">
        <f>Q243*V243</f>
      </c>
      <c r="X243">
        <v>1095</v>
      </c>
      <c r="Y243" t="s">
        <v>616</v>
      </c>
      <c r="Z243" t="s">
        <v>653</v>
      </c>
      <c r="AA243"/>
      <c r="AB243"/>
      <c r="AC243" t="s">
        <v>49</v>
      </c>
      <c r="AD243"/>
    </row>
    <row r="244">
      <c r="A244" t="s">
        <v>30</v>
      </c>
      <c r="B244" t="s">
        <v>189</v>
      </c>
      <c r="C244" t="s">
        <v>651</v>
      </c>
      <c r="D244" t="s">
        <v>262</v>
      </c>
      <c r="E244" t="s">
        <v>263</v>
      </c>
      <c r="F244" s="2">
        <v>46286</v>
      </c>
      <c r="G244">
        <v>12</v>
      </c>
      <c r="H244" t="s">
        <v>684</v>
      </c>
      <c r="I244" t="s">
        <v>685</v>
      </c>
      <c r="J244" t="s">
        <v>685</v>
      </c>
      <c r="K244" t="s">
        <v>639</v>
      </c>
      <c r="L244" t="s">
        <v>686</v>
      </c>
      <c r="M244">
        <v>300</v>
      </c>
      <c r="N244">
        <v>300</v>
      </c>
      <c r="O244" t="s">
        <v>240</v>
      </c>
      <c r="P244">
        <v>6</v>
      </c>
      <c r="Q244">
        <f>N244/P244</f>
      </c>
      <c r="R244" s="1">
        <v>202</v>
      </c>
      <c r="S244" s="1">
        <v>202</v>
      </c>
      <c r="T244">
        <f>IF(R244=S244,"相符","不相符")</f>
      </c>
      <c r="U244"/>
      <c r="V244">
        <f>P244*R244</f>
      </c>
      <c r="W244">
        <f>Q244*V244</f>
      </c>
      <c r="X244">
        <v>730</v>
      </c>
      <c r="Y244" t="s">
        <v>641</v>
      </c>
      <c r="Z244" t="s">
        <v>653</v>
      </c>
      <c r="AA244"/>
      <c r="AB244"/>
      <c r="AC244" t="s">
        <v>49</v>
      </c>
      <c r="AD244"/>
    </row>
    <row r="245">
      <c r="A245" t="s">
        <v>30</v>
      </c>
      <c r="B245" t="s">
        <v>189</v>
      </c>
      <c r="C245" t="s">
        <v>687</v>
      </c>
      <c r="D245" t="s">
        <v>262</v>
      </c>
      <c r="E245" t="s">
        <v>263</v>
      </c>
      <c r="F245" s="2">
        <v>46282</v>
      </c>
      <c r="G245">
        <v>1</v>
      </c>
      <c r="H245" t="s">
        <v>688</v>
      </c>
      <c r="I245" t="s">
        <v>689</v>
      </c>
      <c r="J245" t="s">
        <v>689</v>
      </c>
      <c r="K245" t="s">
        <v>639</v>
      </c>
      <c r="L245" t="s">
        <v>690</v>
      </c>
      <c r="M245">
        <v>684</v>
      </c>
      <c r="N245">
        <v>684</v>
      </c>
      <c r="O245" t="s">
        <v>197</v>
      </c>
      <c r="P245">
        <v>4</v>
      </c>
      <c r="Q245">
        <f>N245/P245</f>
      </c>
      <c r="R245" s="1">
        <v>0</v>
      </c>
      <c r="S245" s="1">
        <v>447</v>
      </c>
      <c r="T245">
        <f>IF(R245=S245,"相符","不相符")</f>
      </c>
      <c r="U245"/>
      <c r="V245">
        <f>P245*R245</f>
      </c>
      <c r="W245">
        <f>Q245*V245</f>
      </c>
      <c r="X245">
        <v>540</v>
      </c>
      <c r="Y245" t="s">
        <v>691</v>
      </c>
      <c r="Z245" t="s">
        <v>653</v>
      </c>
      <c r="AA245"/>
      <c r="AB245"/>
      <c r="AC245" t="s">
        <v>49</v>
      </c>
      <c r="AD245"/>
    </row>
    <row r="246">
      <c r="A246" t="s">
        <v>30</v>
      </c>
      <c r="B246" t="s">
        <v>189</v>
      </c>
      <c r="C246" t="s">
        <v>692</v>
      </c>
      <c r="D246" t="s">
        <v>191</v>
      </c>
      <c r="E246" t="s">
        <v>192</v>
      </c>
      <c r="F246" s="2">
        <v>46282</v>
      </c>
      <c r="G246">
        <v>1</v>
      </c>
      <c r="H246" t="s">
        <v>693</v>
      </c>
      <c r="I246" t="s">
        <v>694</v>
      </c>
      <c r="J246" t="s">
        <v>694</v>
      </c>
      <c r="K246" t="s">
        <v>695</v>
      </c>
      <c r="L246" t="s">
        <v>696</v>
      </c>
      <c r="M246">
        <v>486</v>
      </c>
      <c r="N246">
        <v>486</v>
      </c>
      <c r="O246" t="s">
        <v>240</v>
      </c>
      <c r="P246">
        <v>9</v>
      </c>
      <c r="Q246">
        <f>N246/P246</f>
      </c>
      <c r="R246" s="1">
        <v>257</v>
      </c>
      <c r="S246" s="1">
        <v>257</v>
      </c>
      <c r="T246">
        <f>IF(R246=S246,"相符","不相符")</f>
      </c>
      <c r="U246"/>
      <c r="V246">
        <f>P246*R246</f>
      </c>
      <c r="W246">
        <f>Q246*V246</f>
      </c>
      <c r="X246">
        <v>1095</v>
      </c>
      <c r="Y246" t="s">
        <v>697</v>
      </c>
      <c r="Z246" t="s">
        <v>653</v>
      </c>
      <c r="AA246"/>
      <c r="AB246"/>
      <c r="AC246" t="s">
        <v>49</v>
      </c>
      <c r="AD246"/>
    </row>
    <row r="247">
      <c r="A247" t="s">
        <v>30</v>
      </c>
      <c r="B247" t="s">
        <v>189</v>
      </c>
      <c r="C247" t="s">
        <v>692</v>
      </c>
      <c r="D247" t="s">
        <v>191</v>
      </c>
      <c r="E247" t="s">
        <v>192</v>
      </c>
      <c r="F247" s="2">
        <v>46282</v>
      </c>
      <c r="G247">
        <v>2</v>
      </c>
      <c r="H247" t="s">
        <v>698</v>
      </c>
      <c r="I247" t="s">
        <v>699</v>
      </c>
      <c r="J247" t="s">
        <v>699</v>
      </c>
      <c r="K247" t="s">
        <v>426</v>
      </c>
      <c r="L247" t="s">
        <v>700</v>
      </c>
      <c r="M247">
        <v>276</v>
      </c>
      <c r="N247">
        <v>276</v>
      </c>
      <c r="O247" t="s">
        <v>240</v>
      </c>
      <c r="P247">
        <v>12</v>
      </c>
      <c r="Q247">
        <f>N247/P247</f>
      </c>
      <c r="R247" s="1">
        <v>106</v>
      </c>
      <c r="S247" s="1">
        <v>106</v>
      </c>
      <c r="T247">
        <f>IF(R247=S247,"相符","不相符")</f>
      </c>
      <c r="U247"/>
      <c r="V247">
        <f>P247*R247</f>
      </c>
      <c r="W247">
        <f>Q247*V247</f>
      </c>
      <c r="X247">
        <v>540</v>
      </c>
      <c r="Y247" t="s">
        <v>691</v>
      </c>
      <c r="Z247" t="s">
        <v>653</v>
      </c>
      <c r="AA247"/>
      <c r="AB247"/>
      <c r="AC247" t="s">
        <v>49</v>
      </c>
      <c r="AD247"/>
    </row>
    <row r="248">
      <c r="A248" t="s">
        <v>30</v>
      </c>
      <c r="B248" t="s">
        <v>189</v>
      </c>
      <c r="C248" t="s">
        <v>692</v>
      </c>
      <c r="D248" t="s">
        <v>191</v>
      </c>
      <c r="E248" t="s">
        <v>192</v>
      </c>
      <c r="F248" s="2">
        <v>46282</v>
      </c>
      <c r="G248">
        <v>3</v>
      </c>
      <c r="H248" t="s">
        <v>436</v>
      </c>
      <c r="I248" t="s">
        <v>437</v>
      </c>
      <c r="J248" t="s">
        <v>437</v>
      </c>
      <c r="K248" t="s">
        <v>426</v>
      </c>
      <c r="L248" t="s">
        <v>438</v>
      </c>
      <c r="M248">
        <v>552</v>
      </c>
      <c r="N248">
        <v>552</v>
      </c>
      <c r="O248" t="s">
        <v>435</v>
      </c>
      <c r="P248">
        <v>12</v>
      </c>
      <c r="Q248">
        <f>N248/P248</f>
      </c>
      <c r="R248" s="1">
        <v>196</v>
      </c>
      <c r="S248" s="1">
        <v>196</v>
      </c>
      <c r="T248">
        <f>IF(R248=S248,"相符","不相符")</f>
      </c>
      <c r="U248"/>
      <c r="V248">
        <f>P248*R248</f>
      </c>
      <c r="W248">
        <f>Q248*V248</f>
      </c>
      <c r="X248">
        <v>730</v>
      </c>
      <c r="Y248" t="s">
        <v>96</v>
      </c>
      <c r="Z248" t="s">
        <v>653</v>
      </c>
      <c r="AA248"/>
      <c r="AB248"/>
      <c r="AC248" t="s">
        <v>49</v>
      </c>
      <c r="AD248"/>
    </row>
    <row r="249">
      <c r="A249" t="s">
        <v>30</v>
      </c>
      <c r="B249" t="s">
        <v>189</v>
      </c>
      <c r="C249" t="s">
        <v>692</v>
      </c>
      <c r="D249" t="s">
        <v>191</v>
      </c>
      <c r="E249" t="s">
        <v>192</v>
      </c>
      <c r="F249" s="2">
        <v>46282</v>
      </c>
      <c r="G249">
        <v>4</v>
      </c>
      <c r="H249" t="s">
        <v>701</v>
      </c>
      <c r="I249" t="s">
        <v>702</v>
      </c>
      <c r="J249" t="s">
        <v>702</v>
      </c>
      <c r="K249" t="s">
        <v>703</v>
      </c>
      <c r="L249" t="s">
        <v>704</v>
      </c>
      <c r="M249">
        <v>552</v>
      </c>
      <c r="N249">
        <v>552</v>
      </c>
      <c r="O249" t="s">
        <v>435</v>
      </c>
      <c r="P249">
        <v>12</v>
      </c>
      <c r="Q249">
        <f>N249/P249</f>
      </c>
      <c r="R249" s="1">
        <v>99</v>
      </c>
      <c r="S249" s="1">
        <v>99</v>
      </c>
      <c r="T249">
        <f>IF(R249=S249,"相符","不相符")</f>
      </c>
      <c r="U249"/>
      <c r="V249">
        <f>P249*R249</f>
      </c>
      <c r="W249">
        <f>Q249*V249</f>
      </c>
      <c r="X249">
        <v>1095</v>
      </c>
      <c r="Y249" t="s">
        <v>697</v>
      </c>
      <c r="Z249" t="s">
        <v>653</v>
      </c>
      <c r="AA249"/>
      <c r="AB249"/>
      <c r="AC249" t="s">
        <v>49</v>
      </c>
      <c r="AD249"/>
    </row>
    <row r="250">
      <c r="A250" t="s">
        <v>30</v>
      </c>
      <c r="B250" t="s">
        <v>189</v>
      </c>
      <c r="C250" t="s">
        <v>692</v>
      </c>
      <c r="D250" t="s">
        <v>191</v>
      </c>
      <c r="E250" t="s">
        <v>192</v>
      </c>
      <c r="F250" s="2">
        <v>46282</v>
      </c>
      <c r="G250">
        <v>5</v>
      </c>
      <c r="H250" t="s">
        <v>705</v>
      </c>
      <c r="I250" t="s">
        <v>706</v>
      </c>
      <c r="J250" t="s">
        <v>706</v>
      </c>
      <c r="K250" t="s">
        <v>195</v>
      </c>
      <c r="L250" t="s">
        <v>707</v>
      </c>
      <c r="M250">
        <v>324</v>
      </c>
      <c r="N250">
        <v>324</v>
      </c>
      <c r="O250" t="s">
        <v>197</v>
      </c>
      <c r="P250">
        <v>12</v>
      </c>
      <c r="Q250">
        <f>N250/P250</f>
      </c>
      <c r="R250" s="1">
        <v>60</v>
      </c>
      <c r="S250" s="1">
        <v>60</v>
      </c>
      <c r="T250">
        <f>IF(R250=S250,"相符","不相符")</f>
      </c>
      <c r="U250"/>
      <c r="V250">
        <f>P250*R250</f>
      </c>
      <c r="W250">
        <f>Q250*V250</f>
      </c>
      <c r="X250">
        <v>1095</v>
      </c>
      <c r="Y250" t="s">
        <v>697</v>
      </c>
      <c r="Z250" t="s">
        <v>653</v>
      </c>
      <c r="AA250"/>
      <c r="AB250"/>
      <c r="AC250" t="s">
        <v>49</v>
      </c>
      <c r="AD250"/>
    </row>
    <row r="251">
      <c r="A251" t="s">
        <v>30</v>
      </c>
      <c r="B251" t="s">
        <v>189</v>
      </c>
      <c r="C251" t="s">
        <v>692</v>
      </c>
      <c r="D251" t="s">
        <v>191</v>
      </c>
      <c r="E251" t="s">
        <v>192</v>
      </c>
      <c r="F251" s="2">
        <v>46282</v>
      </c>
      <c r="G251">
        <v>6</v>
      </c>
      <c r="H251" t="s">
        <v>708</v>
      </c>
      <c r="I251" t="s">
        <v>709</v>
      </c>
      <c r="J251" t="s">
        <v>709</v>
      </c>
      <c r="K251" t="s">
        <v>195</v>
      </c>
      <c r="L251" t="s">
        <v>710</v>
      </c>
      <c r="M251">
        <v>660</v>
      </c>
      <c r="N251">
        <v>660</v>
      </c>
      <c r="O251" t="s">
        <v>197</v>
      </c>
      <c r="P251">
        <v>12</v>
      </c>
      <c r="Q251">
        <f>N251/P251</f>
      </c>
      <c r="R251" s="1">
        <v>82</v>
      </c>
      <c r="S251" s="1">
        <v>82</v>
      </c>
      <c r="T251">
        <f>IF(R251=S251,"相符","不相符")</f>
      </c>
      <c r="U251"/>
      <c r="V251">
        <f>P251*R251</f>
      </c>
      <c r="W251">
        <f>Q251*V251</f>
      </c>
      <c r="X251">
        <v>1095</v>
      </c>
      <c r="Y251" t="s">
        <v>697</v>
      </c>
      <c r="Z251" t="s">
        <v>653</v>
      </c>
      <c r="AA251"/>
      <c r="AB251"/>
      <c r="AC251" t="s">
        <v>49</v>
      </c>
      <c r="AD251"/>
    </row>
    <row r="252">
      <c r="A252" t="s">
        <v>30</v>
      </c>
      <c r="B252" t="s">
        <v>189</v>
      </c>
      <c r="C252" t="s">
        <v>692</v>
      </c>
      <c r="D252" t="s">
        <v>191</v>
      </c>
      <c r="E252" t="s">
        <v>192</v>
      </c>
      <c r="F252" s="2">
        <v>46282</v>
      </c>
      <c r="G252">
        <v>7</v>
      </c>
      <c r="H252" t="s">
        <v>711</v>
      </c>
      <c r="I252" t="s">
        <v>712</v>
      </c>
      <c r="J252" t="s">
        <v>712</v>
      </c>
      <c r="K252" t="s">
        <v>457</v>
      </c>
      <c r="L252" t="s">
        <v>713</v>
      </c>
      <c r="M252">
        <v>160</v>
      </c>
      <c r="N252">
        <v>160</v>
      </c>
      <c r="O252" t="s">
        <v>177</v>
      </c>
      <c r="P252">
        <v>8</v>
      </c>
      <c r="Q252">
        <f>N252/P252</f>
      </c>
      <c r="R252" s="1">
        <v>272</v>
      </c>
      <c r="S252" s="1">
        <v>272</v>
      </c>
      <c r="T252">
        <f>IF(R252=S252,"相符","不相符")</f>
      </c>
      <c r="U252"/>
      <c r="V252">
        <f>P252*R252</f>
      </c>
      <c r="W252">
        <f>Q252*V252</f>
      </c>
      <c r="X252">
        <v>730</v>
      </c>
      <c r="Y252" t="s">
        <v>714</v>
      </c>
      <c r="Z252" t="s">
        <v>653</v>
      </c>
      <c r="AA252"/>
      <c r="AB252"/>
      <c r="AC252" t="s">
        <v>49</v>
      </c>
      <c r="AD252"/>
    </row>
    <row r="253">
      <c r="A253" t="s">
        <v>30</v>
      </c>
      <c r="B253" t="s">
        <v>189</v>
      </c>
      <c r="C253" t="s">
        <v>692</v>
      </c>
      <c r="D253" t="s">
        <v>191</v>
      </c>
      <c r="E253" t="s">
        <v>192</v>
      </c>
      <c r="F253" s="2">
        <v>46282</v>
      </c>
      <c r="G253">
        <v>8</v>
      </c>
      <c r="H253" t="s">
        <v>715</v>
      </c>
      <c r="I253" t="s">
        <v>716</v>
      </c>
      <c r="J253" t="s">
        <v>716</v>
      </c>
      <c r="K253" t="s">
        <v>717</v>
      </c>
      <c r="L253" t="s">
        <v>718</v>
      </c>
      <c r="M253">
        <v>2088</v>
      </c>
      <c r="N253">
        <v>2088</v>
      </c>
      <c r="O253" t="s">
        <v>435</v>
      </c>
      <c r="P253">
        <v>24</v>
      </c>
      <c r="Q253">
        <f>N253/P253</f>
      </c>
      <c r="R253" s="1">
        <v>57</v>
      </c>
      <c r="S253" s="1">
        <v>57</v>
      </c>
      <c r="T253">
        <f>IF(R253=S253,"相符","不相符")</f>
      </c>
      <c r="U253"/>
      <c r="V253">
        <f>P253*R253</f>
      </c>
      <c r="W253">
        <f>Q253*V253</f>
      </c>
      <c r="X253">
        <v>730</v>
      </c>
      <c r="Y253" t="s">
        <v>697</v>
      </c>
      <c r="Z253" t="s">
        <v>653</v>
      </c>
      <c r="AA253"/>
      <c r="AB253"/>
      <c r="AC253" t="s">
        <v>49</v>
      </c>
      <c r="AD253"/>
    </row>
    <row r="254">
      <c r="A254" t="s">
        <v>30</v>
      </c>
      <c r="B254" t="s">
        <v>189</v>
      </c>
      <c r="C254" t="s">
        <v>692</v>
      </c>
      <c r="D254" t="s">
        <v>191</v>
      </c>
      <c r="E254" t="s">
        <v>192</v>
      </c>
      <c r="F254" s="2">
        <v>46282</v>
      </c>
      <c r="G254">
        <v>9</v>
      </c>
      <c r="H254" t="s">
        <v>719</v>
      </c>
      <c r="I254" t="s">
        <v>720</v>
      </c>
      <c r="J254" t="s">
        <v>720</v>
      </c>
      <c r="K254" t="s">
        <v>717</v>
      </c>
      <c r="L254" t="s">
        <v>721</v>
      </c>
      <c r="M254">
        <v>648</v>
      </c>
      <c r="N254">
        <v>648</v>
      </c>
      <c r="O254" t="s">
        <v>435</v>
      </c>
      <c r="P254">
        <v>24</v>
      </c>
      <c r="Q254">
        <f>N254/P254</f>
      </c>
      <c r="R254" s="1">
        <v>57</v>
      </c>
      <c r="S254" s="1">
        <v>57</v>
      </c>
      <c r="T254">
        <f>IF(R254=S254,"相符","不相符")</f>
      </c>
      <c r="U254"/>
      <c r="V254">
        <f>P254*R254</f>
      </c>
      <c r="W254">
        <f>Q254*V254</f>
      </c>
      <c r="X254">
        <v>730</v>
      </c>
      <c r="Y254" t="s">
        <v>722</v>
      </c>
      <c r="Z254" t="s">
        <v>653</v>
      </c>
      <c r="AA254"/>
      <c r="AB254"/>
      <c r="AC254" t="s">
        <v>49</v>
      </c>
      <c r="AD254"/>
    </row>
    <row r="255">
      <c r="A255" t="s">
        <v>30</v>
      </c>
      <c r="B255" t="s">
        <v>189</v>
      </c>
      <c r="C255" t="s">
        <v>723</v>
      </c>
      <c r="D255" t="s">
        <v>191</v>
      </c>
      <c r="E255" t="s">
        <v>192</v>
      </c>
      <c r="F255" s="2">
        <v>46282</v>
      </c>
      <c r="G255">
        <v>1</v>
      </c>
      <c r="H255" t="s">
        <v>693</v>
      </c>
      <c r="I255" t="s">
        <v>694</v>
      </c>
      <c r="J255" t="s">
        <v>694</v>
      </c>
      <c r="K255" t="s">
        <v>695</v>
      </c>
      <c r="L255" t="s">
        <v>696</v>
      </c>
      <c r="M255">
        <v>60</v>
      </c>
      <c r="N255">
        <v>54</v>
      </c>
      <c r="O255" t="s">
        <v>240</v>
      </c>
      <c r="P255">
        <v>9</v>
      </c>
      <c r="Q255">
        <f>N255/P255</f>
      </c>
      <c r="R255" s="1">
        <v>257</v>
      </c>
      <c r="S255" s="1">
        <v>257</v>
      </c>
      <c r="T255">
        <f>IF(R255=S255,"相符","不相符")</f>
      </c>
      <c r="U255"/>
      <c r="V255">
        <f>P255*R255</f>
      </c>
      <c r="W255">
        <f>Q255*V255</f>
      </c>
      <c r="X255">
        <v>1095</v>
      </c>
      <c r="Y255" t="s">
        <v>697</v>
      </c>
      <c r="Z255" t="s">
        <v>631</v>
      </c>
      <c r="AA255"/>
      <c r="AB255"/>
      <c r="AC255" t="s">
        <v>49</v>
      </c>
      <c r="AD255"/>
    </row>
    <row r="256">
      <c r="A256" t="s">
        <v>30</v>
      </c>
      <c r="B256" t="s">
        <v>189</v>
      </c>
      <c r="C256" t="s">
        <v>723</v>
      </c>
      <c r="D256" t="s">
        <v>191</v>
      </c>
      <c r="E256" t="s">
        <v>192</v>
      </c>
      <c r="F256" s="2">
        <v>46282</v>
      </c>
      <c r="G256">
        <v>2</v>
      </c>
      <c r="H256" t="s">
        <v>698</v>
      </c>
      <c r="I256" t="s">
        <v>699</v>
      </c>
      <c r="J256" t="s">
        <v>699</v>
      </c>
      <c r="K256" t="s">
        <v>426</v>
      </c>
      <c r="L256" t="s">
        <v>700</v>
      </c>
      <c r="M256">
        <v>25</v>
      </c>
      <c r="N256">
        <v>24</v>
      </c>
      <c r="O256" t="s">
        <v>240</v>
      </c>
      <c r="P256">
        <v>12</v>
      </c>
      <c r="Q256">
        <f>N256/P256</f>
      </c>
      <c r="R256" s="1">
        <v>106</v>
      </c>
      <c r="S256" s="1">
        <v>106</v>
      </c>
      <c r="T256">
        <f>IF(R256=S256,"相符","不相符")</f>
      </c>
      <c r="U256"/>
      <c r="V256">
        <f>P256*R256</f>
      </c>
      <c r="W256">
        <f>Q256*V256</f>
      </c>
      <c r="X256">
        <v>540</v>
      </c>
      <c r="Y256" t="s">
        <v>691</v>
      </c>
      <c r="Z256" t="s">
        <v>631</v>
      </c>
      <c r="AA256"/>
      <c r="AB256"/>
      <c r="AC256" t="s">
        <v>49</v>
      </c>
      <c r="AD256"/>
    </row>
    <row r="257">
      <c r="A257" t="s">
        <v>30</v>
      </c>
      <c r="B257" t="s">
        <v>189</v>
      </c>
      <c r="C257" t="s">
        <v>723</v>
      </c>
      <c r="D257" t="s">
        <v>191</v>
      </c>
      <c r="E257" t="s">
        <v>192</v>
      </c>
      <c r="F257" s="2">
        <v>46282</v>
      </c>
      <c r="G257">
        <v>3</v>
      </c>
      <c r="H257" t="s">
        <v>429</v>
      </c>
      <c r="I257" t="s">
        <v>430</v>
      </c>
      <c r="J257" t="s">
        <v>430</v>
      </c>
      <c r="K257" t="s">
        <v>426</v>
      </c>
      <c r="L257" t="s">
        <v>431</v>
      </c>
      <c r="M257">
        <v>50</v>
      </c>
      <c r="N257">
        <v>48</v>
      </c>
      <c r="O257" t="s">
        <v>240</v>
      </c>
      <c r="P257">
        <v>12</v>
      </c>
      <c r="Q257">
        <f>N257/P257</f>
      </c>
      <c r="R257" s="1">
        <v>106</v>
      </c>
      <c r="S257" s="1">
        <v>106</v>
      </c>
      <c r="T257">
        <f>IF(R257=S257,"相符","不相符")</f>
      </c>
      <c r="U257"/>
      <c r="V257">
        <f>P257*R257</f>
      </c>
      <c r="W257">
        <f>Q257*V257</f>
      </c>
      <c r="X257">
        <v>540</v>
      </c>
      <c r="Y257" t="s">
        <v>724</v>
      </c>
      <c r="Z257" t="s">
        <v>631</v>
      </c>
      <c r="AA257"/>
      <c r="AB257"/>
      <c r="AC257" t="s">
        <v>49</v>
      </c>
      <c r="AD257"/>
    </row>
    <row r="258">
      <c r="A258" t="s">
        <v>30</v>
      </c>
      <c r="B258" t="s">
        <v>189</v>
      </c>
      <c r="C258" t="s">
        <v>723</v>
      </c>
      <c r="D258" t="s">
        <v>191</v>
      </c>
      <c r="E258" t="s">
        <v>192</v>
      </c>
      <c r="F258" s="2">
        <v>46282</v>
      </c>
      <c r="G258">
        <v>4</v>
      </c>
      <c r="H258" t="s">
        <v>436</v>
      </c>
      <c r="I258" t="s">
        <v>437</v>
      </c>
      <c r="J258" t="s">
        <v>437</v>
      </c>
      <c r="K258" t="s">
        <v>426</v>
      </c>
      <c r="L258" t="s">
        <v>438</v>
      </c>
      <c r="M258">
        <v>50</v>
      </c>
      <c r="N258">
        <v>48</v>
      </c>
      <c r="O258" t="s">
        <v>435</v>
      </c>
      <c r="P258">
        <v>12</v>
      </c>
      <c r="Q258">
        <f>N258/P258</f>
      </c>
      <c r="R258" s="1">
        <v>196</v>
      </c>
      <c r="S258" s="1">
        <v>196</v>
      </c>
      <c r="T258">
        <f>IF(R258=S258,"相符","不相符")</f>
      </c>
      <c r="U258"/>
      <c r="V258">
        <f>P258*R258</f>
      </c>
      <c r="W258">
        <f>Q258*V258</f>
      </c>
      <c r="X258">
        <v>730</v>
      </c>
      <c r="Y258" t="s">
        <v>96</v>
      </c>
      <c r="Z258" t="s">
        <v>631</v>
      </c>
      <c r="AA258"/>
      <c r="AB258"/>
      <c r="AC258" t="s">
        <v>49</v>
      </c>
      <c r="AD258"/>
    </row>
    <row r="259">
      <c r="A259" t="s">
        <v>30</v>
      </c>
      <c r="B259" t="s">
        <v>189</v>
      </c>
      <c r="C259" t="s">
        <v>723</v>
      </c>
      <c r="D259" t="s">
        <v>191</v>
      </c>
      <c r="E259" t="s">
        <v>192</v>
      </c>
      <c r="F259" s="2">
        <v>46282</v>
      </c>
      <c r="G259">
        <v>5</v>
      </c>
      <c r="H259" t="s">
        <v>701</v>
      </c>
      <c r="I259" t="s">
        <v>702</v>
      </c>
      <c r="J259" t="s">
        <v>702</v>
      </c>
      <c r="K259" t="s">
        <v>703</v>
      </c>
      <c r="L259" t="s">
        <v>704</v>
      </c>
      <c r="M259">
        <v>50</v>
      </c>
      <c r="N259">
        <v>48</v>
      </c>
      <c r="O259" t="s">
        <v>435</v>
      </c>
      <c r="P259">
        <v>12</v>
      </c>
      <c r="Q259">
        <f>N259/P259</f>
      </c>
      <c r="R259" s="1">
        <v>99</v>
      </c>
      <c r="S259" s="1">
        <v>99</v>
      </c>
      <c r="T259">
        <f>IF(R259=S259,"相符","不相符")</f>
      </c>
      <c r="U259"/>
      <c r="V259">
        <f>P259*R259</f>
      </c>
      <c r="W259">
        <f>Q259*V259</f>
      </c>
      <c r="X259">
        <v>1095</v>
      </c>
      <c r="Y259" t="s">
        <v>697</v>
      </c>
      <c r="Z259" t="s">
        <v>631</v>
      </c>
      <c r="AA259"/>
      <c r="AB259"/>
      <c r="AC259" t="s">
        <v>49</v>
      </c>
      <c r="AD259"/>
    </row>
    <row r="260">
      <c r="A260" t="s">
        <v>30</v>
      </c>
      <c r="B260" t="s">
        <v>189</v>
      </c>
      <c r="C260" t="s">
        <v>723</v>
      </c>
      <c r="D260" t="s">
        <v>191</v>
      </c>
      <c r="E260" t="s">
        <v>192</v>
      </c>
      <c r="F260" s="2">
        <v>46282</v>
      </c>
      <c r="G260">
        <v>6</v>
      </c>
      <c r="H260" t="s">
        <v>705</v>
      </c>
      <c r="I260" t="s">
        <v>706</v>
      </c>
      <c r="J260" t="s">
        <v>706</v>
      </c>
      <c r="K260" t="s">
        <v>195</v>
      </c>
      <c r="L260" t="s">
        <v>707</v>
      </c>
      <c r="M260">
        <v>29</v>
      </c>
      <c r="N260">
        <v>24</v>
      </c>
      <c r="O260" t="s">
        <v>197</v>
      </c>
      <c r="P260">
        <v>12</v>
      </c>
      <c r="Q260">
        <f>N260/P260</f>
      </c>
      <c r="R260" s="1">
        <v>60</v>
      </c>
      <c r="S260" s="1">
        <v>60</v>
      </c>
      <c r="T260">
        <f>IF(R260=S260,"相符","不相符")</f>
      </c>
      <c r="U260"/>
      <c r="V260">
        <f>P260*R260</f>
      </c>
      <c r="W260">
        <f>Q260*V260</f>
      </c>
      <c r="X260">
        <v>1095</v>
      </c>
      <c r="Y260" t="s">
        <v>697</v>
      </c>
      <c r="Z260" t="s">
        <v>631</v>
      </c>
      <c r="AA260"/>
      <c r="AB260"/>
      <c r="AC260" t="s">
        <v>49</v>
      </c>
      <c r="AD260"/>
    </row>
    <row r="261">
      <c r="A261" t="s">
        <v>30</v>
      </c>
      <c r="B261" t="s">
        <v>189</v>
      </c>
      <c r="C261" t="s">
        <v>723</v>
      </c>
      <c r="D261" t="s">
        <v>191</v>
      </c>
      <c r="E261" t="s">
        <v>192</v>
      </c>
      <c r="F261" s="2">
        <v>46282</v>
      </c>
      <c r="G261">
        <v>7</v>
      </c>
      <c r="H261" t="s">
        <v>659</v>
      </c>
      <c r="I261" t="s">
        <v>660</v>
      </c>
      <c r="J261" t="s">
        <v>660</v>
      </c>
      <c r="K261" t="s">
        <v>457</v>
      </c>
      <c r="L261" t="s">
        <v>661</v>
      </c>
      <c r="M261">
        <v>204</v>
      </c>
      <c r="N261">
        <v>204</v>
      </c>
      <c r="O261" t="s">
        <v>240</v>
      </c>
      <c r="P261">
        <v>6</v>
      </c>
      <c r="Q261">
        <f>N261/P261</f>
      </c>
      <c r="R261" s="1">
        <v>183</v>
      </c>
      <c r="S261" s="1">
        <v>174</v>
      </c>
      <c r="T261">
        <f>IF(R261=S261,"相符","不相符")</f>
      </c>
      <c r="U261"/>
      <c r="V261">
        <f>P261*R261</f>
      </c>
      <c r="W261">
        <f>Q261*V261</f>
      </c>
      <c r="X261">
        <v>730</v>
      </c>
      <c r="Y261" t="s">
        <v>714</v>
      </c>
      <c r="Z261" t="s">
        <v>631</v>
      </c>
      <c r="AA261"/>
      <c r="AB261"/>
      <c r="AC261" t="s">
        <v>49</v>
      </c>
      <c r="AD261"/>
    </row>
    <row r="262">
      <c r="A262" t="s">
        <v>30</v>
      </c>
      <c r="B262" t="s">
        <v>189</v>
      </c>
      <c r="C262" t="s">
        <v>723</v>
      </c>
      <c r="D262" t="s">
        <v>191</v>
      </c>
      <c r="E262" t="s">
        <v>192</v>
      </c>
      <c r="F262" s="2">
        <v>46282</v>
      </c>
      <c r="G262">
        <v>8</v>
      </c>
      <c r="H262" t="s">
        <v>662</v>
      </c>
      <c r="I262" t="s">
        <v>663</v>
      </c>
      <c r="J262" t="s">
        <v>663</v>
      </c>
      <c r="K262" t="s">
        <v>457</v>
      </c>
      <c r="L262" t="s">
        <v>664</v>
      </c>
      <c r="M262">
        <v>140</v>
      </c>
      <c r="N262">
        <v>138</v>
      </c>
      <c r="O262" t="s">
        <v>240</v>
      </c>
      <c r="P262">
        <v>6</v>
      </c>
      <c r="Q262">
        <f>N262/P262</f>
      </c>
      <c r="R262" s="1">
        <v>183</v>
      </c>
      <c r="S262" s="1">
        <v>174</v>
      </c>
      <c r="T262">
        <f>IF(R262=S262,"相符","不相符")</f>
      </c>
      <c r="U262"/>
      <c r="V262">
        <f>P262*R262</f>
      </c>
      <c r="W262">
        <f>Q262*V262</f>
      </c>
      <c r="X262">
        <v>730</v>
      </c>
      <c r="Y262" t="s">
        <v>714</v>
      </c>
      <c r="Z262" t="s">
        <v>631</v>
      </c>
      <c r="AA262"/>
      <c r="AB262"/>
      <c r="AC262" t="s">
        <v>49</v>
      </c>
      <c r="AD262"/>
    </row>
    <row r="263">
      <c r="A263" t="s">
        <v>30</v>
      </c>
      <c r="B263" t="s">
        <v>189</v>
      </c>
      <c r="C263" t="s">
        <v>723</v>
      </c>
      <c r="D263" t="s">
        <v>191</v>
      </c>
      <c r="E263" t="s">
        <v>192</v>
      </c>
      <c r="F263" s="2">
        <v>46282</v>
      </c>
      <c r="G263">
        <v>9</v>
      </c>
      <c r="H263" t="s">
        <v>670</v>
      </c>
      <c r="I263" t="s">
        <v>671</v>
      </c>
      <c r="J263" t="s">
        <v>671</v>
      </c>
      <c r="K263" t="s">
        <v>639</v>
      </c>
      <c r="L263" t="s">
        <v>672</v>
      </c>
      <c r="M263">
        <v>78</v>
      </c>
      <c r="N263">
        <v>70</v>
      </c>
      <c r="O263" t="s">
        <v>197</v>
      </c>
      <c r="P263">
        <v>10</v>
      </c>
      <c r="Q263">
        <f>N263/P263</f>
      </c>
      <c r="R263" s="1">
        <v>208</v>
      </c>
      <c r="S263" s="1">
        <v>208</v>
      </c>
      <c r="T263">
        <f>IF(R263=S263,"相符","不相符")</f>
      </c>
      <c r="U263"/>
      <c r="V263">
        <f>P263*R263</f>
      </c>
      <c r="W263">
        <f>Q263*V263</f>
      </c>
      <c r="X263">
        <v>540</v>
      </c>
      <c r="Y263" t="s">
        <v>691</v>
      </c>
      <c r="Z263" t="s">
        <v>631</v>
      </c>
      <c r="AA263"/>
      <c r="AB263"/>
      <c r="AC263" t="s">
        <v>49</v>
      </c>
      <c r="AD263"/>
    </row>
    <row r="264">
      <c r="A264" t="s">
        <v>30</v>
      </c>
      <c r="B264" t="s">
        <v>189</v>
      </c>
      <c r="C264" t="s">
        <v>723</v>
      </c>
      <c r="D264" t="s">
        <v>191</v>
      </c>
      <c r="E264" t="s">
        <v>192</v>
      </c>
      <c r="F264" s="2">
        <v>46282</v>
      </c>
      <c r="G264">
        <v>10</v>
      </c>
      <c r="H264" t="s">
        <v>725</v>
      </c>
      <c r="I264" t="s">
        <v>726</v>
      </c>
      <c r="J264" t="s">
        <v>726</v>
      </c>
      <c r="K264" t="s">
        <v>457</v>
      </c>
      <c r="L264" t="s">
        <v>727</v>
      </c>
      <c r="M264">
        <v>80</v>
      </c>
      <c r="N264">
        <v>80</v>
      </c>
      <c r="O264" t="s">
        <v>177</v>
      </c>
      <c r="P264">
        <v>8</v>
      </c>
      <c r="Q264">
        <f>N264/P264</f>
      </c>
      <c r="R264" s="1">
        <v>272</v>
      </c>
      <c r="S264" s="1">
        <v>272</v>
      </c>
      <c r="T264">
        <f>IF(R264=S264,"相符","不相符")</f>
      </c>
      <c r="U264"/>
      <c r="V264">
        <f>P264*R264</f>
      </c>
      <c r="W264">
        <f>Q264*V264</f>
      </c>
      <c r="X264">
        <v>730</v>
      </c>
      <c r="Y264" t="s">
        <v>714</v>
      </c>
      <c r="Z264" t="s">
        <v>631</v>
      </c>
      <c r="AA264"/>
      <c r="AB264"/>
      <c r="AC264" t="s">
        <v>49</v>
      </c>
      <c r="AD264"/>
    </row>
    <row r="265">
      <c r="A265" t="s">
        <v>30</v>
      </c>
      <c r="B265" t="s">
        <v>189</v>
      </c>
      <c r="C265" t="s">
        <v>723</v>
      </c>
      <c r="D265" t="s">
        <v>191</v>
      </c>
      <c r="E265" t="s">
        <v>192</v>
      </c>
      <c r="F265" s="2">
        <v>46282</v>
      </c>
      <c r="G265">
        <v>11</v>
      </c>
      <c r="H265" t="s">
        <v>728</v>
      </c>
      <c r="I265" t="s">
        <v>729</v>
      </c>
      <c r="J265" t="s">
        <v>729</v>
      </c>
      <c r="K265" t="s">
        <v>457</v>
      </c>
      <c r="L265" t="s">
        <v>730</v>
      </c>
      <c r="M265">
        <v>243</v>
      </c>
      <c r="N265">
        <v>240</v>
      </c>
      <c r="O265" t="s">
        <v>177</v>
      </c>
      <c r="P265">
        <v>8</v>
      </c>
      <c r="Q265">
        <f>N265/P265</f>
      </c>
      <c r="R265" s="1">
        <v>272</v>
      </c>
      <c r="S265" s="1">
        <v>272</v>
      </c>
      <c r="T265">
        <f>IF(R265=S265,"相符","不相符")</f>
      </c>
      <c r="U265"/>
      <c r="V265">
        <f>P265*R265</f>
      </c>
      <c r="W265">
        <f>Q265*V265</f>
      </c>
      <c r="X265">
        <v>730</v>
      </c>
      <c r="Y265" t="s">
        <v>714</v>
      </c>
      <c r="Z265" t="s">
        <v>631</v>
      </c>
      <c r="AA265"/>
      <c r="AB265"/>
      <c r="AC265" t="s">
        <v>49</v>
      </c>
      <c r="AD265"/>
    </row>
    <row r="266">
      <c r="A266" t="s">
        <v>30</v>
      </c>
      <c r="B266" t="s">
        <v>189</v>
      </c>
      <c r="C266" t="s">
        <v>723</v>
      </c>
      <c r="D266" t="s">
        <v>191</v>
      </c>
      <c r="E266" t="s">
        <v>192</v>
      </c>
      <c r="F266" s="2">
        <v>46282</v>
      </c>
      <c r="G266">
        <v>12</v>
      </c>
      <c r="H266" t="s">
        <v>715</v>
      </c>
      <c r="I266" t="s">
        <v>716</v>
      </c>
      <c r="J266" t="s">
        <v>716</v>
      </c>
      <c r="K266" t="s">
        <v>717</v>
      </c>
      <c r="L266" t="s">
        <v>718</v>
      </c>
      <c r="M266">
        <v>90</v>
      </c>
      <c r="N266">
        <v>72</v>
      </c>
      <c r="O266" t="s">
        <v>435</v>
      </c>
      <c r="P266">
        <v>24</v>
      </c>
      <c r="Q266">
        <f>N266/P266</f>
      </c>
      <c r="R266" s="1">
        <v>57</v>
      </c>
      <c r="S266" s="1">
        <v>57</v>
      </c>
      <c r="T266">
        <f>IF(R266=S266,"相符","不相符")</f>
      </c>
      <c r="U266"/>
      <c r="V266">
        <f>P266*R266</f>
      </c>
      <c r="W266">
        <f>Q266*V266</f>
      </c>
      <c r="X266">
        <v>730</v>
      </c>
      <c r="Y266" t="s">
        <v>697</v>
      </c>
      <c r="Z266" t="s">
        <v>631</v>
      </c>
      <c r="AA266"/>
      <c r="AB266"/>
      <c r="AC266" t="s">
        <v>49</v>
      </c>
      <c r="AD266"/>
    </row>
    <row r="267">
      <c r="A267" t="s">
        <v>30</v>
      </c>
      <c r="B267" t="s">
        <v>189</v>
      </c>
      <c r="C267" t="s">
        <v>723</v>
      </c>
      <c r="D267" t="s">
        <v>191</v>
      </c>
      <c r="E267" t="s">
        <v>192</v>
      </c>
      <c r="F267" s="2">
        <v>46282</v>
      </c>
      <c r="G267">
        <v>13</v>
      </c>
      <c r="H267" t="s">
        <v>719</v>
      </c>
      <c r="I267" t="s">
        <v>720</v>
      </c>
      <c r="J267" t="s">
        <v>720</v>
      </c>
      <c r="K267" t="s">
        <v>717</v>
      </c>
      <c r="L267" t="s">
        <v>721</v>
      </c>
      <c r="M267">
        <v>28</v>
      </c>
      <c r="N267">
        <v>24</v>
      </c>
      <c r="O267" t="s">
        <v>435</v>
      </c>
      <c r="P267">
        <v>24</v>
      </c>
      <c r="Q267">
        <f>N267/P267</f>
      </c>
      <c r="R267" s="1">
        <v>57</v>
      </c>
      <c r="S267" s="1">
        <v>57</v>
      </c>
      <c r="T267">
        <f>IF(R267=S267,"相符","不相符")</f>
      </c>
      <c r="U267"/>
      <c r="V267">
        <f>P267*R267</f>
      </c>
      <c r="W267">
        <f>Q267*V267</f>
      </c>
      <c r="X267">
        <v>730</v>
      </c>
      <c r="Y267" t="s">
        <v>722</v>
      </c>
      <c r="Z267" t="s">
        <v>631</v>
      </c>
      <c r="AA267"/>
      <c r="AB267"/>
      <c r="AC267" t="s">
        <v>49</v>
      </c>
      <c r="AD267"/>
    </row>
    <row r="268">
      <c r="A268" t="s">
        <v>30</v>
      </c>
      <c r="B268" t="s">
        <v>189</v>
      </c>
      <c r="C268" t="s">
        <v>731</v>
      </c>
      <c r="D268" t="s">
        <v>191</v>
      </c>
      <c r="E268" t="s">
        <v>192</v>
      </c>
      <c r="F268" s="2">
        <v>46282</v>
      </c>
      <c r="G268">
        <v>1</v>
      </c>
      <c r="H268" t="s">
        <v>732</v>
      </c>
      <c r="I268" t="s">
        <v>733</v>
      </c>
      <c r="J268" t="s">
        <v>733</v>
      </c>
      <c r="K268" t="s">
        <v>734</v>
      </c>
      <c r="L268" t="s">
        <v>735</v>
      </c>
      <c r="M268">
        <v>36</v>
      </c>
      <c r="N268">
        <v>36</v>
      </c>
      <c r="O268" t="s">
        <v>240</v>
      </c>
      <c r="P268">
        <v>12</v>
      </c>
      <c r="Q268">
        <f>N268/P268</f>
      </c>
      <c r="R268" s="1">
        <v>355</v>
      </c>
      <c r="S268" s="1">
        <v>355</v>
      </c>
      <c r="T268">
        <f>IF(R268=S268,"相符","不相符")</f>
      </c>
      <c r="U268"/>
      <c r="V268">
        <f>P268*R268</f>
      </c>
      <c r="W268">
        <f>Q268*V268</f>
      </c>
      <c r="X268">
        <v>1095</v>
      </c>
      <c r="Y268" t="s">
        <v>697</v>
      </c>
      <c r="Z268" t="s">
        <v>736</v>
      </c>
      <c r="AA268"/>
      <c r="AB268"/>
      <c r="AC268" t="s">
        <v>49</v>
      </c>
      <c r="AD268"/>
    </row>
    <row r="269">
      <c r="A269" t="s">
        <v>30</v>
      </c>
      <c r="B269" t="s">
        <v>189</v>
      </c>
      <c r="C269" t="s">
        <v>731</v>
      </c>
      <c r="D269" t="s">
        <v>191</v>
      </c>
      <c r="E269" t="s">
        <v>192</v>
      </c>
      <c r="F269" s="2">
        <v>46282</v>
      </c>
      <c r="G269">
        <v>2</v>
      </c>
      <c r="H269" t="s">
        <v>737</v>
      </c>
      <c r="I269" t="s">
        <v>738</v>
      </c>
      <c r="J269" t="s">
        <v>738</v>
      </c>
      <c r="K269" t="s">
        <v>734</v>
      </c>
      <c r="L269" t="s">
        <v>739</v>
      </c>
      <c r="M269">
        <v>72</v>
      </c>
      <c r="N269">
        <v>72</v>
      </c>
      <c r="O269" t="s">
        <v>683</v>
      </c>
      <c r="P269">
        <v>12</v>
      </c>
      <c r="Q269">
        <f>N269/P269</f>
      </c>
      <c r="R269" s="1">
        <v>726</v>
      </c>
      <c r="S269" s="1">
        <v>726</v>
      </c>
      <c r="T269">
        <f>IF(R269=S269,"相符","不相符")</f>
      </c>
      <c r="U269"/>
      <c r="V269">
        <f>P269*R269</f>
      </c>
      <c r="W269">
        <f>Q269*V269</f>
      </c>
      <c r="X269">
        <v>1095</v>
      </c>
      <c r="Y269" t="s">
        <v>697</v>
      </c>
      <c r="Z269" t="s">
        <v>736</v>
      </c>
      <c r="AA269"/>
      <c r="AB269"/>
      <c r="AC269" t="s">
        <v>49</v>
      </c>
      <c r="AD269"/>
    </row>
    <row r="270">
      <c r="A270" t="s">
        <v>30</v>
      </c>
      <c r="B270" t="s">
        <v>189</v>
      </c>
      <c r="C270" t="s">
        <v>740</v>
      </c>
      <c r="D270" t="s">
        <v>191</v>
      </c>
      <c r="E270" t="s">
        <v>192</v>
      </c>
      <c r="F270" s="2">
        <v>46282</v>
      </c>
      <c r="G270">
        <v>1</v>
      </c>
      <c r="H270" t="s">
        <v>693</v>
      </c>
      <c r="I270" t="s">
        <v>694</v>
      </c>
      <c r="J270" t="s">
        <v>694</v>
      </c>
      <c r="K270" t="s">
        <v>695</v>
      </c>
      <c r="L270" t="s">
        <v>696</v>
      </c>
      <c r="M270">
        <v>180</v>
      </c>
      <c r="N270">
        <v>180</v>
      </c>
      <c r="O270" t="s">
        <v>240</v>
      </c>
      <c r="P270">
        <v>9</v>
      </c>
      <c r="Q270">
        <f>N270/P270</f>
      </c>
      <c r="R270" s="1">
        <v>257</v>
      </c>
      <c r="S270" s="1">
        <v>257</v>
      </c>
      <c r="T270">
        <f>IF(R270=S270,"相符","不相符")</f>
      </c>
      <c r="U270"/>
      <c r="V270">
        <f>P270*R270</f>
      </c>
      <c r="W270">
        <f>Q270*V270</f>
      </c>
      <c r="X270">
        <v>1095</v>
      </c>
      <c r="Y270" t="s">
        <v>697</v>
      </c>
      <c r="Z270" t="s">
        <v>203</v>
      </c>
      <c r="AA270"/>
      <c r="AB270"/>
      <c r="AC270" t="s">
        <v>49</v>
      </c>
      <c r="AD270"/>
    </row>
    <row r="271">
      <c r="A271" t="s">
        <v>30</v>
      </c>
      <c r="B271" t="s">
        <v>189</v>
      </c>
      <c r="C271" t="s">
        <v>740</v>
      </c>
      <c r="D271" t="s">
        <v>191</v>
      </c>
      <c r="E271" t="s">
        <v>192</v>
      </c>
      <c r="F271" s="2">
        <v>46282</v>
      </c>
      <c r="G271">
        <v>2</v>
      </c>
      <c r="H271" t="s">
        <v>741</v>
      </c>
      <c r="I271" t="s">
        <v>742</v>
      </c>
      <c r="J271" t="s">
        <v>742</v>
      </c>
      <c r="K271" t="s">
        <v>657</v>
      </c>
      <c r="L271" t="s">
        <v>743</v>
      </c>
      <c r="M271">
        <v>324</v>
      </c>
      <c r="N271">
        <v>324</v>
      </c>
      <c r="O271" t="s">
        <v>435</v>
      </c>
      <c r="P271">
        <v>6</v>
      </c>
      <c r="Q271">
        <f>N271/P271</f>
      </c>
      <c r="R271" s="1">
        <v>228</v>
      </c>
      <c r="S271" s="1">
        <v>228</v>
      </c>
      <c r="T271">
        <f>IF(R271=S271,"相符","不相符")</f>
      </c>
      <c r="U271"/>
      <c r="V271">
        <f>P271*R271</f>
      </c>
      <c r="W271">
        <f>Q271*V271</f>
      </c>
      <c r="X271">
        <v>1825</v>
      </c>
      <c r="Y271" t="s">
        <v>744</v>
      </c>
      <c r="Z271" t="s">
        <v>203</v>
      </c>
      <c r="AA271"/>
      <c r="AB271"/>
      <c r="AC271" t="s">
        <v>49</v>
      </c>
      <c r="AD271"/>
    </row>
    <row r="272">
      <c r="A272" t="s">
        <v>30</v>
      </c>
      <c r="B272" t="s">
        <v>189</v>
      </c>
      <c r="C272" t="s">
        <v>740</v>
      </c>
      <c r="D272" t="s">
        <v>191</v>
      </c>
      <c r="E272" t="s">
        <v>192</v>
      </c>
      <c r="F272" s="2">
        <v>46282</v>
      </c>
      <c r="G272">
        <v>3</v>
      </c>
      <c r="H272" t="s">
        <v>745</v>
      </c>
      <c r="I272" t="s">
        <v>746</v>
      </c>
      <c r="J272" t="s">
        <v>746</v>
      </c>
      <c r="K272" t="s">
        <v>703</v>
      </c>
      <c r="L272" t="s">
        <v>747</v>
      </c>
      <c r="M272">
        <v>480</v>
      </c>
      <c r="N272">
        <v>480</v>
      </c>
      <c r="O272" t="s">
        <v>435</v>
      </c>
      <c r="P272">
        <v>24</v>
      </c>
      <c r="Q272">
        <f>N272/P272</f>
      </c>
      <c r="R272" s="1">
        <v>68</v>
      </c>
      <c r="S272" s="1">
        <v>68</v>
      </c>
      <c r="T272">
        <f>IF(R272=S272,"相符","不相符")</f>
      </c>
      <c r="U272"/>
      <c r="V272">
        <f>P272*R272</f>
      </c>
      <c r="W272">
        <f>Q272*V272</f>
      </c>
      <c r="X272">
        <v>1095</v>
      </c>
      <c r="Y272" t="s">
        <v>96</v>
      </c>
      <c r="Z272" t="s">
        <v>203</v>
      </c>
      <c r="AA272"/>
      <c r="AB272"/>
      <c r="AC272" t="s">
        <v>49</v>
      </c>
      <c r="AD272"/>
    </row>
    <row r="273">
      <c r="A273" t="s">
        <v>30</v>
      </c>
      <c r="B273" t="s">
        <v>189</v>
      </c>
      <c r="C273" t="s">
        <v>740</v>
      </c>
      <c r="D273" t="s">
        <v>191</v>
      </c>
      <c r="E273" t="s">
        <v>192</v>
      </c>
      <c r="F273" s="2">
        <v>46282</v>
      </c>
      <c r="G273">
        <v>4</v>
      </c>
      <c r="H273" t="s">
        <v>455</v>
      </c>
      <c r="I273" t="s">
        <v>456</v>
      </c>
      <c r="J273" t="s">
        <v>456</v>
      </c>
      <c r="K273" t="s">
        <v>457</v>
      </c>
      <c r="L273" t="s">
        <v>458</v>
      </c>
      <c r="M273">
        <v>72</v>
      </c>
      <c r="N273">
        <v>72</v>
      </c>
      <c r="O273" t="s">
        <v>240</v>
      </c>
      <c r="P273">
        <v>6</v>
      </c>
      <c r="Q273">
        <f>N273/P273</f>
      </c>
      <c r="R273" s="1">
        <v>175</v>
      </c>
      <c r="S273" s="1">
        <v>166</v>
      </c>
      <c r="T273">
        <f>IF(R273=S273,"相符","不相符")</f>
      </c>
      <c r="U273"/>
      <c r="V273">
        <f>P273*R273</f>
      </c>
      <c r="W273">
        <f>Q273*V273</f>
      </c>
      <c r="X273">
        <v>730</v>
      </c>
      <c r="Y273" t="s">
        <v>714</v>
      </c>
      <c r="Z273" t="s">
        <v>203</v>
      </c>
      <c r="AA273"/>
      <c r="AB273"/>
      <c r="AC273" t="s">
        <v>49</v>
      </c>
      <c r="AD273"/>
    </row>
    <row r="274">
      <c r="A274" t="s">
        <v>30</v>
      </c>
      <c r="B274" t="s">
        <v>189</v>
      </c>
      <c r="C274" t="s">
        <v>740</v>
      </c>
      <c r="D274" t="s">
        <v>191</v>
      </c>
      <c r="E274" t="s">
        <v>192</v>
      </c>
      <c r="F274" s="2">
        <v>46282</v>
      </c>
      <c r="G274">
        <v>5</v>
      </c>
      <c r="H274" t="s">
        <v>748</v>
      </c>
      <c r="I274" t="s">
        <v>749</v>
      </c>
      <c r="J274" t="s">
        <v>749</v>
      </c>
      <c r="K274" t="s">
        <v>457</v>
      </c>
      <c r="L274" t="s">
        <v>750</v>
      </c>
      <c r="M274">
        <v>102</v>
      </c>
      <c r="N274">
        <v>102</v>
      </c>
      <c r="O274" t="s">
        <v>240</v>
      </c>
      <c r="P274">
        <v>6</v>
      </c>
      <c r="Q274">
        <f>N274/P274</f>
      </c>
      <c r="R274" s="1">
        <v>183</v>
      </c>
      <c r="S274" s="1">
        <v>174</v>
      </c>
      <c r="T274">
        <f>IF(R274=S274,"相符","不相符")</f>
      </c>
      <c r="U274"/>
      <c r="V274">
        <f>P274*R274</f>
      </c>
      <c r="W274">
        <f>Q274*V274</f>
      </c>
      <c r="X274">
        <v>730</v>
      </c>
      <c r="Y274" t="s">
        <v>714</v>
      </c>
      <c r="Z274" t="s">
        <v>203</v>
      </c>
      <c r="AA274"/>
      <c r="AB274"/>
      <c r="AC274" t="s">
        <v>49</v>
      </c>
      <c r="AD274"/>
    </row>
    <row r="275">
      <c r="A275" t="s">
        <v>30</v>
      </c>
      <c r="B275" t="s">
        <v>189</v>
      </c>
      <c r="C275" t="s">
        <v>740</v>
      </c>
      <c r="D275" t="s">
        <v>191</v>
      </c>
      <c r="E275" t="s">
        <v>192</v>
      </c>
      <c r="F275" s="2">
        <v>46282</v>
      </c>
      <c r="G275">
        <v>6</v>
      </c>
      <c r="H275" t="s">
        <v>751</v>
      </c>
      <c r="I275" t="s">
        <v>752</v>
      </c>
      <c r="J275" t="s">
        <v>752</v>
      </c>
      <c r="K275" t="s">
        <v>457</v>
      </c>
      <c r="L275" t="s">
        <v>753</v>
      </c>
      <c r="M275">
        <v>16</v>
      </c>
      <c r="N275">
        <v>16</v>
      </c>
      <c r="O275" t="s">
        <v>177</v>
      </c>
      <c r="P275">
        <v>8</v>
      </c>
      <c r="Q275">
        <f>N275/P275</f>
      </c>
      <c r="R275" s="1">
        <v>272</v>
      </c>
      <c r="S275" s="1">
        <v>272</v>
      </c>
      <c r="T275">
        <f>IF(R275=S275,"相符","不相符")</f>
      </c>
      <c r="U275"/>
      <c r="V275">
        <f>P275*R275</f>
      </c>
      <c r="W275">
        <f>Q275*V275</f>
      </c>
      <c r="X275">
        <v>730</v>
      </c>
      <c r="Y275" t="s">
        <v>714</v>
      </c>
      <c r="Z275" t="s">
        <v>203</v>
      </c>
      <c r="AA275"/>
      <c r="AB275"/>
      <c r="AC275" t="s">
        <v>49</v>
      </c>
      <c r="AD275"/>
    </row>
    <row r="276">
      <c r="A276" t="s">
        <v>30</v>
      </c>
      <c r="B276" t="s">
        <v>189</v>
      </c>
      <c r="C276" t="s">
        <v>740</v>
      </c>
      <c r="D276" t="s">
        <v>191</v>
      </c>
      <c r="E276" t="s">
        <v>192</v>
      </c>
      <c r="F276" s="2">
        <v>46282</v>
      </c>
      <c r="G276">
        <v>7</v>
      </c>
      <c r="H276" t="s">
        <v>715</v>
      </c>
      <c r="I276" t="s">
        <v>716</v>
      </c>
      <c r="J276" t="s">
        <v>716</v>
      </c>
      <c r="K276" t="s">
        <v>717</v>
      </c>
      <c r="L276" t="s">
        <v>718</v>
      </c>
      <c r="M276">
        <v>312</v>
      </c>
      <c r="N276">
        <v>312</v>
      </c>
      <c r="O276" t="s">
        <v>435</v>
      </c>
      <c r="P276">
        <v>24</v>
      </c>
      <c r="Q276">
        <f>N276/P276</f>
      </c>
      <c r="R276" s="1">
        <v>57</v>
      </c>
      <c r="S276" s="1">
        <v>57</v>
      </c>
      <c r="T276">
        <f>IF(R276=S276,"相符","不相符")</f>
      </c>
      <c r="U276"/>
      <c r="V276">
        <f>P276*R276</f>
      </c>
      <c r="W276">
        <f>Q276*V276</f>
      </c>
      <c r="X276">
        <v>730</v>
      </c>
      <c r="Y276" t="s">
        <v>697</v>
      </c>
      <c r="Z276" t="s">
        <v>203</v>
      </c>
      <c r="AA276"/>
      <c r="AB276"/>
      <c r="AC276" t="s">
        <v>49</v>
      </c>
      <c r="AD276"/>
    </row>
    <row r="277">
      <c r="A277" t="s">
        <v>30</v>
      </c>
      <c r="B277" t="s">
        <v>189</v>
      </c>
      <c r="C277" t="s">
        <v>740</v>
      </c>
      <c r="D277" t="s">
        <v>191</v>
      </c>
      <c r="E277" t="s">
        <v>192</v>
      </c>
      <c r="F277" s="2">
        <v>46282</v>
      </c>
      <c r="G277">
        <v>8</v>
      </c>
      <c r="H277" t="s">
        <v>754</v>
      </c>
      <c r="I277" t="s">
        <v>755</v>
      </c>
      <c r="J277" t="s">
        <v>755</v>
      </c>
      <c r="K277" t="s">
        <v>450</v>
      </c>
      <c r="L277" t="s">
        <v>756</v>
      </c>
      <c r="M277">
        <v>80</v>
      </c>
      <c r="N277">
        <v>80</v>
      </c>
      <c r="O277" t="s">
        <v>197</v>
      </c>
      <c r="P277">
        <v>10</v>
      </c>
      <c r="Q277">
        <f>N277/P277</f>
      </c>
      <c r="R277" s="1">
        <v>200</v>
      </c>
      <c r="S277" s="1">
        <v>200</v>
      </c>
      <c r="T277">
        <f>IF(R277=S277,"相符","不相符")</f>
      </c>
      <c r="U277"/>
      <c r="V277">
        <f>P277*R277</f>
      </c>
      <c r="W277">
        <f>Q277*V277</f>
      </c>
      <c r="X277">
        <v>540</v>
      </c>
      <c r="Y277" t="s">
        <v>724</v>
      </c>
      <c r="Z277" t="s">
        <v>203</v>
      </c>
      <c r="AA277"/>
      <c r="AB277"/>
      <c r="AC277" t="s">
        <v>49</v>
      </c>
      <c r="AD277"/>
    </row>
    <row r="278">
      <c r="A278" t="s">
        <v>30</v>
      </c>
      <c r="B278" t="s">
        <v>189</v>
      </c>
      <c r="C278" t="s">
        <v>740</v>
      </c>
      <c r="D278" t="s">
        <v>191</v>
      </c>
      <c r="E278" t="s">
        <v>192</v>
      </c>
      <c r="F278" s="2">
        <v>46282</v>
      </c>
      <c r="G278">
        <v>9</v>
      </c>
      <c r="H278" t="s">
        <v>757</v>
      </c>
      <c r="I278" t="s">
        <v>758</v>
      </c>
      <c r="J278" t="s">
        <v>758</v>
      </c>
      <c r="K278" t="s">
        <v>759</v>
      </c>
      <c r="L278" t="s">
        <v>760</v>
      </c>
      <c r="M278">
        <v>24</v>
      </c>
      <c r="N278">
        <v>24</v>
      </c>
      <c r="O278" t="s">
        <v>240</v>
      </c>
      <c r="P278">
        <v>12</v>
      </c>
      <c r="Q278">
        <f>N278/P278</f>
      </c>
      <c r="R278" s="1">
        <v>280</v>
      </c>
      <c r="S278" s="1">
        <v>280</v>
      </c>
      <c r="T278">
        <f>IF(R278=S278,"相符","不相符")</f>
      </c>
      <c r="U278"/>
      <c r="V278">
        <f>P278*R278</f>
      </c>
      <c r="W278">
        <f>Q278*V278</f>
      </c>
      <c r="X278">
        <v>1095</v>
      </c>
      <c r="Y278" t="s">
        <v>697</v>
      </c>
      <c r="Z278" t="s">
        <v>203</v>
      </c>
      <c r="AA278"/>
      <c r="AB278"/>
      <c r="AC278" t="s">
        <v>49</v>
      </c>
      <c r="AD278"/>
    </row>
    <row r="279">
      <c r="A279" t="s">
        <v>30</v>
      </c>
      <c r="B279" t="s">
        <v>189</v>
      </c>
      <c r="C279" t="s">
        <v>740</v>
      </c>
      <c r="D279" t="s">
        <v>191</v>
      </c>
      <c r="E279" t="s">
        <v>192</v>
      </c>
      <c r="F279" s="2">
        <v>46282</v>
      </c>
      <c r="G279">
        <v>10</v>
      </c>
      <c r="H279" t="s">
        <v>761</v>
      </c>
      <c r="I279" t="s">
        <v>762</v>
      </c>
      <c r="J279" t="s">
        <v>762</v>
      </c>
      <c r="K279" t="s">
        <v>759</v>
      </c>
      <c r="L279" t="s">
        <v>763</v>
      </c>
      <c r="M279">
        <v>24</v>
      </c>
      <c r="N279">
        <v>24</v>
      </c>
      <c r="O279" t="s">
        <v>240</v>
      </c>
      <c r="P279">
        <v>12</v>
      </c>
      <c r="Q279">
        <f>N279/P279</f>
      </c>
      <c r="R279" s="1">
        <v>280</v>
      </c>
      <c r="S279" s="1">
        <v>280</v>
      </c>
      <c r="T279">
        <f>IF(R279=S279,"相符","不相符")</f>
      </c>
      <c r="U279"/>
      <c r="V279">
        <f>P279*R279</f>
      </c>
      <c r="W279">
        <f>Q279*V279</f>
      </c>
      <c r="X279">
        <v>1095</v>
      </c>
      <c r="Y279" t="s">
        <v>722</v>
      </c>
      <c r="Z279" t="s">
        <v>203</v>
      </c>
      <c r="AA279"/>
      <c r="AB279"/>
      <c r="AC279" t="s">
        <v>49</v>
      </c>
      <c r="AD279"/>
    </row>
    <row r="280">
      <c r="A280" t="s">
        <v>30</v>
      </c>
      <c r="B280" t="s">
        <v>189</v>
      </c>
      <c r="C280" t="s">
        <v>764</v>
      </c>
      <c r="D280" t="s">
        <v>191</v>
      </c>
      <c r="E280" t="s">
        <v>192</v>
      </c>
      <c r="F280" s="2">
        <v>46282</v>
      </c>
      <c r="G280">
        <v>1</v>
      </c>
      <c r="H280" t="s">
        <v>765</v>
      </c>
      <c r="I280" t="s">
        <v>766</v>
      </c>
      <c r="J280" t="s">
        <v>766</v>
      </c>
      <c r="K280" t="s">
        <v>734</v>
      </c>
      <c r="L280" t="s">
        <v>767</v>
      </c>
      <c r="M280">
        <v>22</v>
      </c>
      <c r="N280">
        <v>18</v>
      </c>
      <c r="O280" t="s">
        <v>240</v>
      </c>
      <c r="P280">
        <v>6</v>
      </c>
      <c r="Q280">
        <f>N280/P280</f>
      </c>
      <c r="R280" s="1">
        <v>220</v>
      </c>
      <c r="S280" s="1">
        <v>220</v>
      </c>
      <c r="T280">
        <f>IF(R280=S280,"相符","不相符")</f>
      </c>
      <c r="U280"/>
      <c r="V280">
        <f>P280*R280</f>
      </c>
      <c r="W280">
        <f>Q280*V280</f>
      </c>
      <c r="X280">
        <v>1095</v>
      </c>
      <c r="Y280" t="s">
        <v>722</v>
      </c>
      <c r="Z280" t="s">
        <v>768</v>
      </c>
      <c r="AA280"/>
      <c r="AB280"/>
      <c r="AC280" t="s">
        <v>49</v>
      </c>
      <c r="AD280"/>
    </row>
    <row r="281">
      <c r="A281" t="s">
        <v>30</v>
      </c>
      <c r="B281" t="s">
        <v>189</v>
      </c>
      <c r="C281" t="s">
        <v>764</v>
      </c>
      <c r="D281" t="s">
        <v>191</v>
      </c>
      <c r="E281" t="s">
        <v>192</v>
      </c>
      <c r="F281" s="2">
        <v>46282</v>
      </c>
      <c r="G281">
        <v>2</v>
      </c>
      <c r="H281" t="s">
        <v>769</v>
      </c>
      <c r="I281" t="s">
        <v>770</v>
      </c>
      <c r="J281" t="s">
        <v>770</v>
      </c>
      <c r="K281" t="s">
        <v>734</v>
      </c>
      <c r="L281" t="s">
        <v>771</v>
      </c>
      <c r="M281">
        <v>10</v>
      </c>
      <c r="N281">
        <v>6</v>
      </c>
      <c r="O281" t="s">
        <v>240</v>
      </c>
      <c r="P281">
        <v>6</v>
      </c>
      <c r="Q281">
        <f>N281/P281</f>
      </c>
      <c r="R281" s="1">
        <v>220</v>
      </c>
      <c r="S281" s="1">
        <v>220</v>
      </c>
      <c r="T281">
        <f>IF(R281=S281,"相符","不相符")</f>
      </c>
      <c r="U281"/>
      <c r="V281">
        <f>P281*R281</f>
      </c>
      <c r="W281">
        <f>Q281*V281</f>
      </c>
      <c r="X281">
        <v>1095</v>
      </c>
      <c r="Y281" t="s">
        <v>722</v>
      </c>
      <c r="Z281" t="s">
        <v>768</v>
      </c>
      <c r="AA281"/>
      <c r="AB281"/>
      <c r="AC281" t="s">
        <v>49</v>
      </c>
      <c r="AD281"/>
    </row>
    <row r="282">
      <c r="A282" t="s">
        <v>30</v>
      </c>
      <c r="B282" t="s">
        <v>189</v>
      </c>
      <c r="C282" t="s">
        <v>772</v>
      </c>
      <c r="D282" t="s">
        <v>478</v>
      </c>
      <c r="E282" t="s">
        <v>479</v>
      </c>
      <c r="F282" s="2">
        <v>46282</v>
      </c>
      <c r="G282">
        <v>1</v>
      </c>
      <c r="H282" t="s">
        <v>773</v>
      </c>
      <c r="I282" t="s">
        <v>774</v>
      </c>
      <c r="J282" t="s">
        <v>774</v>
      </c>
      <c r="K282" t="s">
        <v>695</v>
      </c>
      <c r="L282" t="s">
        <v>775</v>
      </c>
      <c r="M282">
        <v>1035</v>
      </c>
      <c r="N282">
        <v>1035</v>
      </c>
      <c r="O282" t="s">
        <v>240</v>
      </c>
      <c r="P282">
        <v>9</v>
      </c>
      <c r="Q282">
        <f>N282/P282</f>
      </c>
      <c r="R282" s="1">
        <v>257</v>
      </c>
      <c r="S282" s="1">
        <v>257</v>
      </c>
      <c r="T282">
        <f>IF(R282=S282,"相符","不相符")</f>
      </c>
      <c r="U282"/>
      <c r="V282">
        <f>P282*R282</f>
      </c>
      <c r="W282">
        <f>Q282*V282</f>
      </c>
      <c r="X282">
        <v>1095</v>
      </c>
      <c r="Y282" t="s">
        <v>697</v>
      </c>
      <c r="Z282" t="s">
        <v>776</v>
      </c>
      <c r="AA282"/>
      <c r="AB282"/>
      <c r="AC282" t="s">
        <v>49</v>
      </c>
      <c r="AD282"/>
    </row>
    <row r="283">
      <c r="A283" t="s">
        <v>30</v>
      </c>
      <c r="B283" t="s">
        <v>189</v>
      </c>
      <c r="C283" t="s">
        <v>772</v>
      </c>
      <c r="D283" t="s">
        <v>478</v>
      </c>
      <c r="E283" t="s">
        <v>479</v>
      </c>
      <c r="F283" s="2">
        <v>46282</v>
      </c>
      <c r="G283">
        <v>2</v>
      </c>
      <c r="H283" t="s">
        <v>777</v>
      </c>
      <c r="I283" t="s">
        <v>778</v>
      </c>
      <c r="J283" t="s">
        <v>778</v>
      </c>
      <c r="K283" t="s">
        <v>426</v>
      </c>
      <c r="L283" t="s">
        <v>779</v>
      </c>
      <c r="M283">
        <v>1200</v>
      </c>
      <c r="N283">
        <v>1200</v>
      </c>
      <c r="O283" t="s">
        <v>177</v>
      </c>
      <c r="P283">
        <v>24</v>
      </c>
      <c r="Q283">
        <f>N283/P283</f>
      </c>
      <c r="R283" s="1">
        <v>81</v>
      </c>
      <c r="S283" s="1">
        <v>81</v>
      </c>
      <c r="T283">
        <f>IF(R283=S283,"相符","不相符")</f>
      </c>
      <c r="U283"/>
      <c r="V283">
        <f>P283*R283</f>
      </c>
      <c r="W283">
        <f>Q283*V283</f>
      </c>
      <c r="X283">
        <v>540</v>
      </c>
      <c r="Y283" t="s">
        <v>697</v>
      </c>
      <c r="Z283" t="s">
        <v>780</v>
      </c>
      <c r="AA283"/>
      <c r="AB283"/>
      <c r="AC283" t="s">
        <v>49</v>
      </c>
      <c r="AD283"/>
    </row>
    <row r="284">
      <c r="A284" t="s">
        <v>30</v>
      </c>
      <c r="B284" t="s">
        <v>189</v>
      </c>
      <c r="C284" t="s">
        <v>772</v>
      </c>
      <c r="D284" t="s">
        <v>478</v>
      </c>
      <c r="E284" t="s">
        <v>479</v>
      </c>
      <c r="F284" s="2">
        <v>46282</v>
      </c>
      <c r="G284">
        <v>3</v>
      </c>
      <c r="H284" t="s">
        <v>781</v>
      </c>
      <c r="I284" t="s">
        <v>782</v>
      </c>
      <c r="J284" t="s">
        <v>782</v>
      </c>
      <c r="K284" t="s">
        <v>639</v>
      </c>
      <c r="L284" t="s">
        <v>783</v>
      </c>
      <c r="M284">
        <v>438</v>
      </c>
      <c r="N284">
        <v>438</v>
      </c>
      <c r="O284" t="s">
        <v>177</v>
      </c>
      <c r="P284">
        <v>6</v>
      </c>
      <c r="Q284">
        <f>N284/P284</f>
      </c>
      <c r="R284" s="1">
        <v>193</v>
      </c>
      <c r="S284" s="1">
        <v>193</v>
      </c>
      <c r="T284">
        <f>IF(R284=S284,"相符","不相符")</f>
      </c>
      <c r="U284"/>
      <c r="V284">
        <f>P284*R284</f>
      </c>
      <c r="W284">
        <f>Q284*V284</f>
      </c>
      <c r="X284">
        <v>730</v>
      </c>
      <c r="Y284" t="s">
        <v>714</v>
      </c>
      <c r="Z284" t="s">
        <v>784</v>
      </c>
      <c r="AA284"/>
      <c r="AB284"/>
      <c r="AC284" t="s">
        <v>49</v>
      </c>
      <c r="AD284"/>
    </row>
    <row r="285">
      <c r="A285" t="s">
        <v>30</v>
      </c>
      <c r="B285" t="s">
        <v>189</v>
      </c>
      <c r="C285" t="s">
        <v>772</v>
      </c>
      <c r="D285" t="s">
        <v>478</v>
      </c>
      <c r="E285" t="s">
        <v>479</v>
      </c>
      <c r="F285" s="2">
        <v>46282</v>
      </c>
      <c r="G285">
        <v>4</v>
      </c>
      <c r="H285" t="s">
        <v>785</v>
      </c>
      <c r="I285" t="s">
        <v>786</v>
      </c>
      <c r="J285" t="s">
        <v>786</v>
      </c>
      <c r="K285" t="s">
        <v>195</v>
      </c>
      <c r="L285" t="s">
        <v>787</v>
      </c>
      <c r="M285">
        <v>92</v>
      </c>
      <c r="N285">
        <v>92</v>
      </c>
      <c r="O285" t="s">
        <v>683</v>
      </c>
      <c r="P285">
        <v>1</v>
      </c>
      <c r="Q285">
        <f>N285/P285</f>
      </c>
      <c r="R285" s="1">
        <v>465</v>
      </c>
      <c r="S285" s="1">
        <v>465</v>
      </c>
      <c r="T285">
        <f>IF(R285=S285,"相符","不相符")</f>
      </c>
      <c r="U285"/>
      <c r="V285">
        <f>P285*R285</f>
      </c>
      <c r="W285">
        <f>Q285*V285</f>
      </c>
      <c r="X285">
        <v>1095</v>
      </c>
      <c r="Y285" t="s">
        <v>722</v>
      </c>
      <c r="Z285" t="s">
        <v>788</v>
      </c>
      <c r="AA285"/>
      <c r="AB285"/>
      <c r="AC285" t="s">
        <v>49</v>
      </c>
      <c r="AD285"/>
    </row>
    <row r="286">
      <c r="A286" t="s">
        <v>30</v>
      </c>
      <c r="B286" t="s">
        <v>189</v>
      </c>
      <c r="C286" t="s">
        <v>772</v>
      </c>
      <c r="D286" t="s">
        <v>478</v>
      </c>
      <c r="E286" t="s">
        <v>479</v>
      </c>
      <c r="F286" s="2">
        <v>46282</v>
      </c>
      <c r="G286">
        <v>5</v>
      </c>
      <c r="H286" t="s">
        <v>725</v>
      </c>
      <c r="I286" t="s">
        <v>726</v>
      </c>
      <c r="J286" t="s">
        <v>726</v>
      </c>
      <c r="K286" t="s">
        <v>457</v>
      </c>
      <c r="L286" t="s">
        <v>727</v>
      </c>
      <c r="M286">
        <v>720</v>
      </c>
      <c r="N286">
        <v>720</v>
      </c>
      <c r="O286" t="s">
        <v>177</v>
      </c>
      <c r="P286">
        <v>8</v>
      </c>
      <c r="Q286">
        <f>N286/P286</f>
      </c>
      <c r="R286" s="1">
        <v>272</v>
      </c>
      <c r="S286" s="1">
        <v>272</v>
      </c>
      <c r="T286">
        <f>IF(R286=S286,"相符","不相符")</f>
      </c>
      <c r="U286"/>
      <c r="V286">
        <f>P286*R286</f>
      </c>
      <c r="W286">
        <f>Q286*V286</f>
      </c>
      <c r="X286">
        <v>730</v>
      </c>
      <c r="Y286" t="s">
        <v>714</v>
      </c>
      <c r="Z286" t="s">
        <v>789</v>
      </c>
      <c r="AA286"/>
      <c r="AB286"/>
      <c r="AC286" t="s">
        <v>49</v>
      </c>
      <c r="AD286"/>
    </row>
    <row r="287">
      <c r="A287" t="s">
        <v>30</v>
      </c>
      <c r="B287" t="s">
        <v>189</v>
      </c>
      <c r="C287" t="s">
        <v>772</v>
      </c>
      <c r="D287" t="s">
        <v>478</v>
      </c>
      <c r="E287" t="s">
        <v>479</v>
      </c>
      <c r="F287" s="2">
        <v>46282</v>
      </c>
      <c r="G287">
        <v>6</v>
      </c>
      <c r="H287" t="s">
        <v>790</v>
      </c>
      <c r="I287" t="s">
        <v>791</v>
      </c>
      <c r="J287" t="s">
        <v>791</v>
      </c>
      <c r="K287" t="s">
        <v>457</v>
      </c>
      <c r="L287" t="s">
        <v>792</v>
      </c>
      <c r="M287">
        <v>640</v>
      </c>
      <c r="N287">
        <v>640</v>
      </c>
      <c r="O287" t="s">
        <v>177</v>
      </c>
      <c r="P287">
        <v>8</v>
      </c>
      <c r="Q287">
        <f>N287/P287</f>
      </c>
      <c r="R287" s="1">
        <v>272</v>
      </c>
      <c r="S287" s="1">
        <v>272</v>
      </c>
      <c r="T287">
        <f>IF(R287=S287,"相符","不相符")</f>
      </c>
      <c r="U287"/>
      <c r="V287">
        <f>P287*R287</f>
      </c>
      <c r="W287">
        <f>Q287*V287</f>
      </c>
      <c r="X287">
        <v>730</v>
      </c>
      <c r="Y287" t="s">
        <v>714</v>
      </c>
      <c r="Z287" t="s">
        <v>793</v>
      </c>
      <c r="AA287"/>
      <c r="AB287"/>
      <c r="AC287" t="s">
        <v>49</v>
      </c>
      <c r="AD287"/>
    </row>
    <row r="288">
      <c r="A288" t="s">
        <v>30</v>
      </c>
      <c r="B288" t="s">
        <v>189</v>
      </c>
      <c r="C288" t="s">
        <v>772</v>
      </c>
      <c r="D288" t="s">
        <v>478</v>
      </c>
      <c r="E288" t="s">
        <v>479</v>
      </c>
      <c r="F288" s="2">
        <v>46282</v>
      </c>
      <c r="G288">
        <v>7</v>
      </c>
      <c r="H288" t="s">
        <v>794</v>
      </c>
      <c r="I288" t="s">
        <v>795</v>
      </c>
      <c r="J288" t="s">
        <v>795</v>
      </c>
      <c r="K288" t="s">
        <v>457</v>
      </c>
      <c r="L288" t="s">
        <v>796</v>
      </c>
      <c r="M288">
        <v>248</v>
      </c>
      <c r="N288">
        <v>248</v>
      </c>
      <c r="O288" t="s">
        <v>177</v>
      </c>
      <c r="P288">
        <v>8</v>
      </c>
      <c r="Q288">
        <f>N288/P288</f>
      </c>
      <c r="R288" s="1">
        <v>272</v>
      </c>
      <c r="S288" s="1">
        <v>272</v>
      </c>
      <c r="T288">
        <f>IF(R288=S288,"相符","不相符")</f>
      </c>
      <c r="U288"/>
      <c r="V288">
        <f>P288*R288</f>
      </c>
      <c r="W288">
        <f>Q288*V288</f>
      </c>
      <c r="X288">
        <v>730</v>
      </c>
      <c r="Y288" t="s">
        <v>714</v>
      </c>
      <c r="Z288" t="s">
        <v>797</v>
      </c>
      <c r="AA288"/>
      <c r="AB288"/>
      <c r="AC288" t="s">
        <v>49</v>
      </c>
      <c r="AD288"/>
    </row>
    <row r="289">
      <c r="A289" t="s">
        <v>30</v>
      </c>
      <c r="B289" t="s">
        <v>189</v>
      </c>
      <c r="C289" t="s">
        <v>798</v>
      </c>
      <c r="D289" t="s">
        <v>478</v>
      </c>
      <c r="E289" t="s">
        <v>479</v>
      </c>
      <c r="F289" s="2">
        <v>46275</v>
      </c>
      <c r="G289">
        <v>1</v>
      </c>
      <c r="H289" t="s">
        <v>799</v>
      </c>
      <c r="I289" t="s">
        <v>800</v>
      </c>
      <c r="J289" t="s">
        <v>800</v>
      </c>
      <c r="K289" t="s">
        <v>195</v>
      </c>
      <c r="L289" t="s">
        <v>801</v>
      </c>
      <c r="M289">
        <v>906</v>
      </c>
      <c r="N289">
        <v>900</v>
      </c>
      <c r="O289" t="s">
        <v>197</v>
      </c>
      <c r="P289">
        <v>12</v>
      </c>
      <c r="Q289">
        <f>N289/P289</f>
      </c>
      <c r="R289" s="1">
        <v>120</v>
      </c>
      <c r="S289" s="1">
        <v>120</v>
      </c>
      <c r="T289">
        <f>IF(R289=S289,"相符","不相符")</f>
      </c>
      <c r="U289"/>
      <c r="V289">
        <f>P289*R289</f>
      </c>
      <c r="W289">
        <f>Q289*V289</f>
      </c>
      <c r="X289">
        <v>1095</v>
      </c>
      <c r="Y289" t="s">
        <v>802</v>
      </c>
      <c r="Z289" t="s">
        <v>803</v>
      </c>
      <c r="AA289"/>
      <c r="AB289"/>
      <c r="AC289" t="s">
        <v>49</v>
      </c>
      <c r="AD289"/>
    </row>
    <row r="290">
      <c r="A290" t="s">
        <v>30</v>
      </c>
      <c r="B290" t="s">
        <v>189</v>
      </c>
      <c r="C290" t="s">
        <v>798</v>
      </c>
      <c r="D290" t="s">
        <v>478</v>
      </c>
      <c r="E290" t="s">
        <v>479</v>
      </c>
      <c r="F290" s="2">
        <v>46275</v>
      </c>
      <c r="G290">
        <v>2</v>
      </c>
      <c r="H290" t="s">
        <v>804</v>
      </c>
      <c r="I290" t="s">
        <v>805</v>
      </c>
      <c r="J290" t="s">
        <v>805</v>
      </c>
      <c r="K290" t="s">
        <v>657</v>
      </c>
      <c r="L290" t="s">
        <v>806</v>
      </c>
      <c r="M290">
        <v>336</v>
      </c>
      <c r="N290">
        <v>320</v>
      </c>
      <c r="O290" t="s">
        <v>435</v>
      </c>
      <c r="P290">
        <v>20</v>
      </c>
      <c r="Q290">
        <f>N290/P290</f>
      </c>
      <c r="R290" s="1">
        <v>470</v>
      </c>
      <c r="S290" s="1">
        <v>470</v>
      </c>
      <c r="T290">
        <f>IF(R290=S290,"相符","不相符")</f>
      </c>
      <c r="U290"/>
      <c r="V290">
        <f>P290*R290</f>
      </c>
      <c r="W290">
        <f>Q290*V290</f>
      </c>
      <c r="X290">
        <v>1825</v>
      </c>
      <c r="Y290" t="s">
        <v>744</v>
      </c>
      <c r="Z290" t="s">
        <v>803</v>
      </c>
      <c r="AA290"/>
      <c r="AB290"/>
      <c r="AC290" t="s">
        <v>49</v>
      </c>
      <c r="AD290"/>
    </row>
    <row r="291">
      <c r="A291" t="s">
        <v>30</v>
      </c>
      <c r="B291" t="s">
        <v>189</v>
      </c>
      <c r="C291" t="s">
        <v>798</v>
      </c>
      <c r="D291" t="s">
        <v>478</v>
      </c>
      <c r="E291" t="s">
        <v>479</v>
      </c>
      <c r="F291" s="2">
        <v>46275</v>
      </c>
      <c r="G291">
        <v>3</v>
      </c>
      <c r="H291" t="s">
        <v>665</v>
      </c>
      <c r="I291" t="s">
        <v>666</v>
      </c>
      <c r="J291" t="s">
        <v>666</v>
      </c>
      <c r="K291" t="s">
        <v>419</v>
      </c>
      <c r="L291" t="s">
        <v>667</v>
      </c>
      <c r="M291">
        <v>100</v>
      </c>
      <c r="N291">
        <v>100</v>
      </c>
      <c r="O291" t="s">
        <v>177</v>
      </c>
      <c r="P291">
        <v>4</v>
      </c>
      <c r="Q291">
        <f>N291/P291</f>
      </c>
      <c r="R291" s="1">
        <v>323</v>
      </c>
      <c r="S291" s="1">
        <v>323</v>
      </c>
      <c r="T291">
        <f>IF(R291=S291,"相符","不相符")</f>
      </c>
      <c r="U291"/>
      <c r="V291">
        <f>P291*R291</f>
      </c>
      <c r="W291">
        <f>Q291*V291</f>
      </c>
      <c r="X291">
        <v>1095</v>
      </c>
      <c r="Y291" t="s">
        <v>807</v>
      </c>
      <c r="Z291" t="s">
        <v>803</v>
      </c>
      <c r="AA291"/>
      <c r="AB291"/>
      <c r="AC291" t="s">
        <v>49</v>
      </c>
      <c r="AD291"/>
    </row>
    <row r="292">
      <c r="A292" t="s">
        <v>30</v>
      </c>
      <c r="B292" t="s">
        <v>189</v>
      </c>
      <c r="C292" t="s">
        <v>798</v>
      </c>
      <c r="D292" t="s">
        <v>478</v>
      </c>
      <c r="E292" t="s">
        <v>479</v>
      </c>
      <c r="F292" s="2">
        <v>46275</v>
      </c>
      <c r="G292">
        <v>4</v>
      </c>
      <c r="H292" t="s">
        <v>648</v>
      </c>
      <c r="I292" t="s">
        <v>649</v>
      </c>
      <c r="J292" t="s">
        <v>649</v>
      </c>
      <c r="K292" t="s">
        <v>419</v>
      </c>
      <c r="L292" t="s">
        <v>650</v>
      </c>
      <c r="M292">
        <v>592</v>
      </c>
      <c r="N292">
        <v>592</v>
      </c>
      <c r="O292" t="s">
        <v>177</v>
      </c>
      <c r="P292">
        <v>4</v>
      </c>
      <c r="Q292">
        <f>N292/P292</f>
      </c>
      <c r="R292" s="1">
        <v>323</v>
      </c>
      <c r="S292" s="1">
        <v>323</v>
      </c>
      <c r="T292">
        <f>IF(R292=S292,"相符","不相符")</f>
      </c>
      <c r="U292"/>
      <c r="V292">
        <f>P292*R292</f>
      </c>
      <c r="W292">
        <f>Q292*V292</f>
      </c>
      <c r="X292">
        <v>1095</v>
      </c>
      <c r="Y292" t="s">
        <v>807</v>
      </c>
      <c r="Z292" t="s">
        <v>803</v>
      </c>
      <c r="AA292"/>
      <c r="AB292"/>
      <c r="AC292" t="s">
        <v>49</v>
      </c>
      <c r="AD292"/>
    </row>
    <row r="293">
      <c r="A293" t="s">
        <v>30</v>
      </c>
      <c r="B293" t="s">
        <v>189</v>
      </c>
      <c r="C293" t="s">
        <v>798</v>
      </c>
      <c r="D293" t="s">
        <v>478</v>
      </c>
      <c r="E293" t="s">
        <v>479</v>
      </c>
      <c r="F293" s="2">
        <v>46275</v>
      </c>
      <c r="G293">
        <v>5</v>
      </c>
      <c r="H293" t="s">
        <v>808</v>
      </c>
      <c r="I293" t="s">
        <v>809</v>
      </c>
      <c r="J293" t="s">
        <v>809</v>
      </c>
      <c r="K293" t="s">
        <v>639</v>
      </c>
      <c r="L293" t="s">
        <v>810</v>
      </c>
      <c r="M293">
        <v>7044</v>
      </c>
      <c r="N293">
        <v>3600</v>
      </c>
      <c r="O293" t="s">
        <v>177</v>
      </c>
      <c r="P293">
        <v>6</v>
      </c>
      <c r="Q293">
        <f>N293/P293</f>
      </c>
      <c r="R293" s="1">
        <v>193</v>
      </c>
      <c r="S293" s="1">
        <v>193</v>
      </c>
      <c r="T293">
        <f>IF(R293=S293,"相符","不相符")</f>
      </c>
      <c r="U293"/>
      <c r="V293">
        <f>P293*R293</f>
      </c>
      <c r="W293">
        <f>Q293*V293</f>
      </c>
      <c r="X293">
        <v>730</v>
      </c>
      <c r="Y293" t="s">
        <v>811</v>
      </c>
      <c r="Z293" t="s">
        <v>803</v>
      </c>
      <c r="AA293"/>
      <c r="AB293"/>
      <c r="AC293" t="s">
        <v>49</v>
      </c>
      <c r="AD293"/>
    </row>
    <row r="294">
      <c r="A294" t="s">
        <v>30</v>
      </c>
      <c r="B294" t="s">
        <v>189</v>
      </c>
      <c r="C294" t="s">
        <v>798</v>
      </c>
      <c r="D294" t="s">
        <v>478</v>
      </c>
      <c r="E294" t="s">
        <v>479</v>
      </c>
      <c r="F294" s="2">
        <v>46275</v>
      </c>
      <c r="G294">
        <v>6</v>
      </c>
      <c r="H294" t="s">
        <v>812</v>
      </c>
      <c r="I294" t="s">
        <v>813</v>
      </c>
      <c r="J294" t="s">
        <v>813</v>
      </c>
      <c r="K294" t="s">
        <v>195</v>
      </c>
      <c r="L294" t="s">
        <v>814</v>
      </c>
      <c r="M294">
        <v>18</v>
      </c>
      <c r="N294">
        <v>16</v>
      </c>
      <c r="O294" t="s">
        <v>177</v>
      </c>
      <c r="P294">
        <v>16</v>
      </c>
      <c r="Q294">
        <f>N294/P294</f>
      </c>
      <c r="R294" s="1">
        <v>78</v>
      </c>
      <c r="S294" s="1">
        <v>78</v>
      </c>
      <c r="T294">
        <f>IF(R294=S294,"相符","不相符")</f>
      </c>
      <c r="U294"/>
      <c r="V294">
        <f>P294*R294</f>
      </c>
      <c r="W294">
        <f>Q294*V294</f>
      </c>
      <c r="X294">
        <v>1095</v>
      </c>
      <c r="Y294" t="s">
        <v>807</v>
      </c>
      <c r="Z294" t="s">
        <v>803</v>
      </c>
      <c r="AA294"/>
      <c r="AB294"/>
      <c r="AC294" t="s">
        <v>49</v>
      </c>
      <c r="AD294"/>
    </row>
    <row r="295">
      <c r="A295" t="s">
        <v>30</v>
      </c>
      <c r="B295" t="s">
        <v>189</v>
      </c>
      <c r="C295" t="s">
        <v>815</v>
      </c>
      <c r="D295" t="s">
        <v>478</v>
      </c>
      <c r="E295" t="s">
        <v>479</v>
      </c>
      <c r="F295" s="2">
        <v>46275</v>
      </c>
      <c r="G295">
        <v>1</v>
      </c>
      <c r="H295" t="s">
        <v>816</v>
      </c>
      <c r="I295" t="s">
        <v>817</v>
      </c>
      <c r="J295" t="s">
        <v>817</v>
      </c>
      <c r="K295" t="s">
        <v>657</v>
      </c>
      <c r="L295" t="s">
        <v>818</v>
      </c>
      <c r="M295">
        <v>252</v>
      </c>
      <c r="N295">
        <v>250</v>
      </c>
      <c r="O295" t="s">
        <v>435</v>
      </c>
      <c r="P295">
        <v>10</v>
      </c>
      <c r="Q295">
        <f>N295/P295</f>
      </c>
      <c r="R295" s="1">
        <v>610</v>
      </c>
      <c r="S295" s="1">
        <v>610</v>
      </c>
      <c r="T295">
        <f>IF(R295=S295,"相符","不相符")</f>
      </c>
      <c r="U295"/>
      <c r="V295">
        <f>P295*R295</f>
      </c>
      <c r="W295">
        <f>Q295*V295</f>
      </c>
      <c r="X295">
        <v>1825</v>
      </c>
      <c r="Y295" t="s">
        <v>744</v>
      </c>
      <c r="Z295" t="s">
        <v>803</v>
      </c>
      <c r="AA295"/>
      <c r="AB295"/>
      <c r="AC295" t="s">
        <v>49</v>
      </c>
      <c r="AD295"/>
    </row>
    <row r="296">
      <c r="A296" t="s">
        <v>30</v>
      </c>
      <c r="B296" t="s">
        <v>189</v>
      </c>
      <c r="C296" t="s">
        <v>815</v>
      </c>
      <c r="D296" t="s">
        <v>478</v>
      </c>
      <c r="E296" t="s">
        <v>479</v>
      </c>
      <c r="F296" s="2">
        <v>46275</v>
      </c>
      <c r="G296">
        <v>2</v>
      </c>
      <c r="H296" t="s">
        <v>648</v>
      </c>
      <c r="I296" t="s">
        <v>649</v>
      </c>
      <c r="J296" t="s">
        <v>649</v>
      </c>
      <c r="K296" t="s">
        <v>419</v>
      </c>
      <c r="L296" t="s">
        <v>650</v>
      </c>
      <c r="M296">
        <v>42</v>
      </c>
      <c r="N296">
        <v>40</v>
      </c>
      <c r="O296" t="s">
        <v>177</v>
      </c>
      <c r="P296">
        <v>4</v>
      </c>
      <c r="Q296">
        <f>N296/P296</f>
      </c>
      <c r="R296" s="1">
        <v>323</v>
      </c>
      <c r="S296" s="1">
        <v>323</v>
      </c>
      <c r="T296">
        <f>IF(R296=S296,"相符","不相符")</f>
      </c>
      <c r="U296"/>
      <c r="V296">
        <f>P296*R296</f>
      </c>
      <c r="W296">
        <f>Q296*V296</f>
      </c>
      <c r="X296">
        <v>1095</v>
      </c>
      <c r="Y296" t="s">
        <v>807</v>
      </c>
      <c r="Z296" t="s">
        <v>803</v>
      </c>
      <c r="AA296"/>
      <c r="AB296"/>
      <c r="AC296" t="s">
        <v>49</v>
      </c>
      <c r="AD296"/>
    </row>
    <row r="297">
      <c r="A297" t="s">
        <v>30</v>
      </c>
      <c r="B297" t="s">
        <v>233</v>
      </c>
      <c r="C297" t="s">
        <v>819</v>
      </c>
      <c r="D297" t="s">
        <v>191</v>
      </c>
      <c r="E297" t="s">
        <v>192</v>
      </c>
      <c r="F297" s="2">
        <v>46275</v>
      </c>
      <c r="G297">
        <v>1</v>
      </c>
      <c r="H297" t="s">
        <v>249</v>
      </c>
      <c r="I297" t="s">
        <v>250</v>
      </c>
      <c r="J297" t="s">
        <v>251</v>
      </c>
      <c r="K297" t="s">
        <v>238</v>
      </c>
      <c r="L297" t="s">
        <v>252</v>
      </c>
      <c r="M297">
        <v>456</v>
      </c>
      <c r="N297">
        <v>456</v>
      </c>
      <c r="O297" t="s">
        <v>177</v>
      </c>
      <c r="P297">
        <v>6</v>
      </c>
      <c r="Q297">
        <f>N297/P297</f>
      </c>
      <c r="R297" s="1">
        <v>137</v>
      </c>
      <c r="S297" s="1">
        <v>137</v>
      </c>
      <c r="T297">
        <f>IF(R297=S297,"相符","不相符")</f>
      </c>
      <c r="U297"/>
      <c r="V297">
        <f>P297*R297</f>
      </c>
      <c r="W297">
        <f>Q297*V297</f>
      </c>
      <c r="X297">
        <v>1095</v>
      </c>
      <c r="Y297" t="s">
        <v>802</v>
      </c>
      <c r="Z297" t="s">
        <v>42</v>
      </c>
      <c r="AA297"/>
      <c r="AB297"/>
      <c r="AC297" t="s">
        <v>243</v>
      </c>
      <c r="AD297"/>
    </row>
    <row r="298">
      <c r="A298" t="s">
        <v>30</v>
      </c>
      <c r="B298" t="s">
        <v>254</v>
      </c>
      <c r="C298" t="s">
        <v>820</v>
      </c>
      <c r="D298" t="s">
        <v>262</v>
      </c>
      <c r="E298" t="s">
        <v>263</v>
      </c>
      <c r="F298" s="2">
        <v>46275</v>
      </c>
      <c r="G298">
        <v>1</v>
      </c>
      <c r="H298" t="s">
        <v>264</v>
      </c>
      <c r="I298" t="s">
        <v>265</v>
      </c>
      <c r="J298" t="s">
        <v>266</v>
      </c>
      <c r="K298" t="s">
        <v>258</v>
      </c>
      <c r="L298" t="s">
        <v>267</v>
      </c>
      <c r="M298">
        <v>5222</v>
      </c>
      <c r="N298">
        <v>5222</v>
      </c>
      <c r="O298" t="s">
        <v>197</v>
      </c>
      <c r="P298">
        <v>7</v>
      </c>
      <c r="Q298">
        <f>N298/P298</f>
      </c>
      <c r="R298" s="1">
        <v>92</v>
      </c>
      <c r="S298" s="1">
        <v>92</v>
      </c>
      <c r="T298">
        <f>IF(R298=S298,"相符","不相符")</f>
      </c>
      <c r="U298" t="s">
        <v>268</v>
      </c>
      <c r="V298">
        <f>P298*R298</f>
      </c>
      <c r="W298">
        <f>Q298*V298</f>
      </c>
      <c r="X298">
        <v>1825</v>
      </c>
      <c r="Y298" t="s">
        <v>821</v>
      </c>
      <c r="Z298" t="s">
        <v>270</v>
      </c>
      <c r="AA298"/>
      <c r="AB298"/>
      <c r="AC298" t="s">
        <v>243</v>
      </c>
      <c r="AD298"/>
    </row>
    <row r="299">
      <c r="A299" t="s">
        <v>30</v>
      </c>
      <c r="B299" t="s">
        <v>254</v>
      </c>
      <c r="C299" t="s">
        <v>822</v>
      </c>
      <c r="D299" t="s">
        <v>262</v>
      </c>
      <c r="E299" t="s">
        <v>263</v>
      </c>
      <c r="F299" s="2">
        <v>46282</v>
      </c>
      <c r="G299">
        <v>1</v>
      </c>
      <c r="H299" t="s">
        <v>574</v>
      </c>
      <c r="I299" t="s">
        <v>575</v>
      </c>
      <c r="J299" t="s">
        <v>576</v>
      </c>
      <c r="K299" t="s">
        <v>491</v>
      </c>
      <c r="L299" t="s">
        <v>577</v>
      </c>
      <c r="M299">
        <v>12</v>
      </c>
      <c r="N299">
        <v>12</v>
      </c>
      <c r="O299" t="s">
        <v>84</v>
      </c>
      <c r="P299">
        <v>1</v>
      </c>
      <c r="Q299">
        <f>N299/P299</f>
      </c>
      <c r="R299" s="1">
        <v>868</v>
      </c>
      <c r="S299" s="1">
        <v>868</v>
      </c>
      <c r="T299">
        <f>IF(R299=S299,"相符","不相符")</f>
      </c>
      <c r="U299" t="s">
        <v>578</v>
      </c>
      <c r="V299">
        <f>P299*R299</f>
      </c>
      <c r="W299">
        <f>Q299*V299</f>
      </c>
      <c r="X299">
        <v>1825</v>
      </c>
      <c r="Y299" t="s">
        <v>823</v>
      </c>
      <c r="Z299" t="s">
        <v>42</v>
      </c>
      <c r="AA299"/>
      <c r="AB299"/>
      <c r="AC299" t="s">
        <v>243</v>
      </c>
      <c r="AD299"/>
    </row>
    <row r="300">
      <c r="A300" t="s">
        <v>30</v>
      </c>
      <c r="B300" t="s">
        <v>254</v>
      </c>
      <c r="C300" t="s">
        <v>824</v>
      </c>
      <c r="D300" t="s">
        <v>262</v>
      </c>
      <c r="E300" t="s">
        <v>263</v>
      </c>
      <c r="F300" s="2">
        <v>46282</v>
      </c>
      <c r="G300">
        <v>1</v>
      </c>
      <c r="H300" t="s">
        <v>825</v>
      </c>
      <c r="I300" t="s">
        <v>826</v>
      </c>
      <c r="J300" t="s">
        <v>827</v>
      </c>
      <c r="K300" t="s">
        <v>258</v>
      </c>
      <c r="L300" t="s">
        <v>828</v>
      </c>
      <c r="M300">
        <v>1920</v>
      </c>
      <c r="N300">
        <v>1920</v>
      </c>
      <c r="O300" t="s">
        <v>197</v>
      </c>
      <c r="P300">
        <v>8</v>
      </c>
      <c r="Q300">
        <f>N300/P300</f>
      </c>
      <c r="R300" s="1">
        <v>67</v>
      </c>
      <c r="S300" s="1">
        <v>67</v>
      </c>
      <c r="T300">
        <f>IF(R300=S300,"相符","不相符")</f>
      </c>
      <c r="U300" t="s">
        <v>829</v>
      </c>
      <c r="V300">
        <f>P300*R300</f>
      </c>
      <c r="W300">
        <f>Q300*V300</f>
      </c>
      <c r="X300">
        <v>1825</v>
      </c>
      <c r="Y300" t="s">
        <v>823</v>
      </c>
      <c r="Z300" t="s">
        <v>830</v>
      </c>
      <c r="AA300"/>
      <c r="AB300"/>
      <c r="AC300" t="s">
        <v>243</v>
      </c>
      <c r="AD300"/>
    </row>
    <row r="301">
      <c r="A301" t="s">
        <v>30</v>
      </c>
      <c r="B301" t="s">
        <v>254</v>
      </c>
      <c r="C301" t="s">
        <v>831</v>
      </c>
      <c r="D301" t="s">
        <v>262</v>
      </c>
      <c r="E301" t="s">
        <v>263</v>
      </c>
      <c r="F301" s="2">
        <v>46282</v>
      </c>
      <c r="G301">
        <v>1</v>
      </c>
      <c r="H301" t="s">
        <v>272</v>
      </c>
      <c r="I301" t="s">
        <v>273</v>
      </c>
      <c r="J301" t="s">
        <v>274</v>
      </c>
      <c r="K301" t="s">
        <v>258</v>
      </c>
      <c r="L301" t="s">
        <v>275</v>
      </c>
      <c r="M301">
        <v>616</v>
      </c>
      <c r="N301">
        <v>616</v>
      </c>
      <c r="O301" t="s">
        <v>197</v>
      </c>
      <c r="P301">
        <v>8</v>
      </c>
      <c r="Q301">
        <f>N301/P301</f>
      </c>
      <c r="R301" s="1">
        <v>65</v>
      </c>
      <c r="S301" s="1">
        <v>65</v>
      </c>
      <c r="T301">
        <f>IF(R301=S301,"相符","不相符")</f>
      </c>
      <c r="U301" t="s">
        <v>276</v>
      </c>
      <c r="V301">
        <f>P301*R301</f>
      </c>
      <c r="W301">
        <f>Q301*V301</f>
      </c>
      <c r="X301">
        <v>1825</v>
      </c>
      <c r="Y301" t="s">
        <v>823</v>
      </c>
      <c r="Z301" t="s">
        <v>213</v>
      </c>
      <c r="AA301"/>
      <c r="AB301"/>
      <c r="AC301" t="s">
        <v>243</v>
      </c>
      <c r="AD301"/>
    </row>
    <row r="302">
      <c r="A302" t="s">
        <v>30</v>
      </c>
      <c r="B302" t="s">
        <v>254</v>
      </c>
      <c r="C302" t="s">
        <v>832</v>
      </c>
      <c r="D302" t="s">
        <v>604</v>
      </c>
      <c r="E302" t="s">
        <v>605</v>
      </c>
      <c r="F302" s="2">
        <v>46282</v>
      </c>
      <c r="G302">
        <v>1</v>
      </c>
      <c r="H302" t="s">
        <v>833</v>
      </c>
      <c r="I302" t="s">
        <v>834</v>
      </c>
      <c r="J302" t="s">
        <v>835</v>
      </c>
      <c r="K302" t="s">
        <v>258</v>
      </c>
      <c r="L302" t="s">
        <v>836</v>
      </c>
      <c r="M302">
        <v>610</v>
      </c>
      <c r="N302">
        <v>610</v>
      </c>
      <c r="O302" t="s">
        <v>84</v>
      </c>
      <c r="P302">
        <v>1</v>
      </c>
      <c r="Q302">
        <f>N302/P302</f>
      </c>
      <c r="R302" s="1">
        <v>642</v>
      </c>
      <c r="S302" s="1">
        <v>642</v>
      </c>
      <c r="T302">
        <f>IF(R302=S302,"相符","不相符")</f>
      </c>
      <c r="U302" t="s">
        <v>837</v>
      </c>
      <c r="V302">
        <f>P302*R302</f>
      </c>
      <c r="W302">
        <f>Q302*V302</f>
      </c>
      <c r="X302">
        <v>1825</v>
      </c>
      <c r="Y302" t="s">
        <v>823</v>
      </c>
      <c r="Z302" t="s">
        <v>838</v>
      </c>
      <c r="AA302"/>
      <c r="AB302"/>
      <c r="AC302" t="s">
        <v>243</v>
      </c>
      <c r="AD302"/>
    </row>
    <row r="303">
      <c r="A303" t="s">
        <v>30</v>
      </c>
      <c r="B303" t="s">
        <v>254</v>
      </c>
      <c r="C303" t="s">
        <v>839</v>
      </c>
      <c r="D303" t="s">
        <v>567</v>
      </c>
      <c r="E303" t="s">
        <v>568</v>
      </c>
      <c r="F303" s="2">
        <v>46287</v>
      </c>
      <c r="G303">
        <v>1</v>
      </c>
      <c r="H303" t="s">
        <v>583</v>
      </c>
      <c r="I303" t="s">
        <v>584</v>
      </c>
      <c r="J303" t="s">
        <v>585</v>
      </c>
      <c r="K303" t="s">
        <v>491</v>
      </c>
      <c r="L303" t="s">
        <v>586</v>
      </c>
      <c r="M303">
        <v>6</v>
      </c>
      <c r="N303">
        <v>6</v>
      </c>
      <c r="O303" t="s">
        <v>84</v>
      </c>
      <c r="P303">
        <v>1</v>
      </c>
      <c r="Q303">
        <f>N303/P303</f>
      </c>
      <c r="R303" s="1">
        <v>569</v>
      </c>
      <c r="S303" s="1">
        <v>569</v>
      </c>
      <c r="T303">
        <f>IF(R303=S303,"相符","不相符")</f>
      </c>
      <c r="U303"/>
      <c r="V303">
        <f>P303*R303</f>
      </c>
      <c r="W303">
        <f>Q303*V303</f>
      </c>
      <c r="X303">
        <v>1825</v>
      </c>
      <c r="Y303" t="s">
        <v>840</v>
      </c>
      <c r="Z303" t="s">
        <v>653</v>
      </c>
      <c r="AA303"/>
      <c r="AB303"/>
      <c r="AC303" t="s">
        <v>243</v>
      </c>
      <c r="AD303"/>
    </row>
    <row r="304">
      <c r="A304" t="s">
        <v>30</v>
      </c>
      <c r="B304" t="s">
        <v>254</v>
      </c>
      <c r="C304" t="s">
        <v>839</v>
      </c>
      <c r="D304" t="s">
        <v>567</v>
      </c>
      <c r="E304" t="s">
        <v>568</v>
      </c>
      <c r="F304" s="2">
        <v>46287</v>
      </c>
      <c r="G304">
        <v>2</v>
      </c>
      <c r="H304" t="s">
        <v>587</v>
      </c>
      <c r="I304" t="s">
        <v>588</v>
      </c>
      <c r="J304" t="s">
        <v>589</v>
      </c>
      <c r="K304" t="s">
        <v>491</v>
      </c>
      <c r="L304" t="s">
        <v>590</v>
      </c>
      <c r="M304">
        <v>6</v>
      </c>
      <c r="N304">
        <v>6</v>
      </c>
      <c r="O304" t="s">
        <v>84</v>
      </c>
      <c r="P304">
        <v>1</v>
      </c>
      <c r="Q304">
        <f>N304/P304</f>
      </c>
      <c r="R304" s="1">
        <v>992</v>
      </c>
      <c r="S304" s="1">
        <v>992</v>
      </c>
      <c r="T304">
        <f>IF(R304=S304,"相符","不相符")</f>
      </c>
      <c r="U304" t="s">
        <v>578</v>
      </c>
      <c r="V304">
        <f>P304*R304</f>
      </c>
      <c r="W304">
        <f>Q304*V304</f>
      </c>
      <c r="X304">
        <v>1825</v>
      </c>
      <c r="Y304" t="s">
        <v>840</v>
      </c>
      <c r="Z304" t="s">
        <v>653</v>
      </c>
      <c r="AA304"/>
      <c r="AB304"/>
      <c r="AC304" t="s">
        <v>243</v>
      </c>
      <c r="AD304"/>
    </row>
    <row r="305">
      <c r="A305" t="s">
        <v>30</v>
      </c>
      <c r="B305" t="s">
        <v>254</v>
      </c>
      <c r="C305" t="s">
        <v>841</v>
      </c>
      <c r="D305" t="s">
        <v>262</v>
      </c>
      <c r="E305" t="s">
        <v>263</v>
      </c>
      <c r="F305" s="2">
        <v>46289</v>
      </c>
      <c r="G305">
        <v>1</v>
      </c>
      <c r="H305" t="s">
        <v>272</v>
      </c>
      <c r="I305" t="s">
        <v>273</v>
      </c>
      <c r="J305" t="s">
        <v>274</v>
      </c>
      <c r="K305" t="s">
        <v>258</v>
      </c>
      <c r="L305" t="s">
        <v>275</v>
      </c>
      <c r="M305">
        <v>2288</v>
      </c>
      <c r="N305">
        <v>2288</v>
      </c>
      <c r="O305" t="s">
        <v>197</v>
      </c>
      <c r="P305">
        <v>8</v>
      </c>
      <c r="Q305">
        <f>N305/P305</f>
      </c>
      <c r="R305" s="1">
        <v>65</v>
      </c>
      <c r="S305" s="1">
        <v>65</v>
      </c>
      <c r="T305">
        <f>IF(R305=S305,"相符","不相符")</f>
      </c>
      <c r="U305" t="s">
        <v>276</v>
      </c>
      <c r="V305">
        <f>P305*R305</f>
      </c>
      <c r="W305">
        <f>Q305*V305</f>
      </c>
      <c r="X305">
        <v>1825</v>
      </c>
      <c r="Y305" t="s">
        <v>842</v>
      </c>
      <c r="Z305" t="s">
        <v>653</v>
      </c>
      <c r="AA305"/>
      <c r="AB305"/>
      <c r="AC305" t="s">
        <v>243</v>
      </c>
      <c r="AD305"/>
    </row>
    <row r="306">
      <c r="A306" t="s">
        <v>30</v>
      </c>
      <c r="B306" t="s">
        <v>254</v>
      </c>
      <c r="C306" t="s">
        <v>841</v>
      </c>
      <c r="D306" t="s">
        <v>262</v>
      </c>
      <c r="E306" t="s">
        <v>263</v>
      </c>
      <c r="F306" s="2">
        <v>46289</v>
      </c>
      <c r="G306">
        <v>2</v>
      </c>
      <c r="H306" t="s">
        <v>843</v>
      </c>
      <c r="I306" t="s">
        <v>844</v>
      </c>
      <c r="J306" t="s">
        <v>845</v>
      </c>
      <c r="K306" t="s">
        <v>491</v>
      </c>
      <c r="L306" t="s">
        <v>846</v>
      </c>
      <c r="M306">
        <v>108</v>
      </c>
      <c r="N306">
        <v>108</v>
      </c>
      <c r="O306" t="s">
        <v>197</v>
      </c>
      <c r="P306">
        <v>3</v>
      </c>
      <c r="Q306">
        <f>N306/P306</f>
      </c>
      <c r="R306" s="1">
        <v>228</v>
      </c>
      <c r="S306" s="1">
        <v>228</v>
      </c>
      <c r="T306">
        <f>IF(R306=S306,"相符","不相符")</f>
      </c>
      <c r="U306" t="s">
        <v>847</v>
      </c>
      <c r="V306">
        <f>P306*R306</f>
      </c>
      <c r="W306">
        <f>Q306*V306</f>
      </c>
      <c r="X306">
        <v>1825</v>
      </c>
      <c r="Y306" t="s">
        <v>842</v>
      </c>
      <c r="Z306" t="s">
        <v>653</v>
      </c>
      <c r="AA306"/>
      <c r="AB306"/>
      <c r="AC306" t="s">
        <v>243</v>
      </c>
      <c r="AD306"/>
    </row>
    <row r="307">
      <c r="A307" t="s">
        <v>30</v>
      </c>
      <c r="B307" t="s">
        <v>254</v>
      </c>
      <c r="C307" t="s">
        <v>841</v>
      </c>
      <c r="D307" t="s">
        <v>262</v>
      </c>
      <c r="E307" t="s">
        <v>263</v>
      </c>
      <c r="F307" s="2">
        <v>46289</v>
      </c>
      <c r="G307">
        <v>3</v>
      </c>
      <c r="H307" t="s">
        <v>848</v>
      </c>
      <c r="I307" t="s">
        <v>849</v>
      </c>
      <c r="J307" t="s">
        <v>850</v>
      </c>
      <c r="K307" t="s">
        <v>491</v>
      </c>
      <c r="L307" t="s">
        <v>851</v>
      </c>
      <c r="M307">
        <v>36</v>
      </c>
      <c r="N307">
        <v>36</v>
      </c>
      <c r="O307" t="s">
        <v>84</v>
      </c>
      <c r="P307">
        <v>1</v>
      </c>
      <c r="Q307">
        <f>N307/P307</f>
      </c>
      <c r="R307" s="1">
        <v>479</v>
      </c>
      <c r="S307" s="1">
        <v>479</v>
      </c>
      <c r="T307">
        <f>IF(R307=S307,"相符","不相符")</f>
      </c>
      <c r="U307" t="s">
        <v>852</v>
      </c>
      <c r="V307">
        <f>P307*R307</f>
      </c>
      <c r="W307">
        <f>Q307*V307</f>
      </c>
      <c r="X307">
        <v>1825</v>
      </c>
      <c r="Y307" t="s">
        <v>842</v>
      </c>
      <c r="Z307" t="s">
        <v>653</v>
      </c>
      <c r="AA307"/>
      <c r="AB307"/>
      <c r="AC307" t="s">
        <v>243</v>
      </c>
      <c r="AD307"/>
    </row>
    <row r="308">
      <c r="A308" t="s">
        <v>30</v>
      </c>
      <c r="B308" t="s">
        <v>254</v>
      </c>
      <c r="C308" t="s">
        <v>841</v>
      </c>
      <c r="D308" t="s">
        <v>262</v>
      </c>
      <c r="E308" t="s">
        <v>263</v>
      </c>
      <c r="F308" s="2">
        <v>46289</v>
      </c>
      <c r="G308">
        <v>4</v>
      </c>
      <c r="H308" t="s">
        <v>583</v>
      </c>
      <c r="I308" t="s">
        <v>584</v>
      </c>
      <c r="J308" t="s">
        <v>585</v>
      </c>
      <c r="K308" t="s">
        <v>491</v>
      </c>
      <c r="L308" t="s">
        <v>586</v>
      </c>
      <c r="M308">
        <v>252</v>
      </c>
      <c r="N308">
        <v>252</v>
      </c>
      <c r="O308" t="s">
        <v>84</v>
      </c>
      <c r="P308">
        <v>1</v>
      </c>
      <c r="Q308">
        <f>N308/P308</f>
      </c>
      <c r="R308" s="1">
        <v>569</v>
      </c>
      <c r="S308" s="1">
        <v>569</v>
      </c>
      <c r="T308">
        <f>IF(R308=S308,"相符","不相符")</f>
      </c>
      <c r="U308"/>
      <c r="V308">
        <f>P308*R308</f>
      </c>
      <c r="W308">
        <f>Q308*V308</f>
      </c>
      <c r="X308">
        <v>1825</v>
      </c>
      <c r="Y308" t="s">
        <v>842</v>
      </c>
      <c r="Z308" t="s">
        <v>653</v>
      </c>
      <c r="AA308"/>
      <c r="AB308"/>
      <c r="AC308" t="s">
        <v>243</v>
      </c>
      <c r="AD308"/>
    </row>
    <row r="309">
      <c r="A309" t="s">
        <v>30</v>
      </c>
      <c r="B309" t="s">
        <v>233</v>
      </c>
      <c r="C309" t="s">
        <v>841</v>
      </c>
      <c r="D309" t="s">
        <v>262</v>
      </c>
      <c r="E309" t="s">
        <v>263</v>
      </c>
      <c r="F309" s="2">
        <v>46289</v>
      </c>
      <c r="G309">
        <v>5</v>
      </c>
      <c r="H309" t="s">
        <v>278</v>
      </c>
      <c r="I309" t="s">
        <v>279</v>
      </c>
      <c r="J309" t="s">
        <v>280</v>
      </c>
      <c r="K309" t="s">
        <v>238</v>
      </c>
      <c r="L309" t="s">
        <v>281</v>
      </c>
      <c r="M309">
        <v>1224</v>
      </c>
      <c r="N309">
        <v>1224</v>
      </c>
      <c r="O309" t="s">
        <v>177</v>
      </c>
      <c r="P309">
        <v>12</v>
      </c>
      <c r="Q309">
        <f>N309/P309</f>
      </c>
      <c r="R309" s="1">
        <v>74</v>
      </c>
      <c r="S309" s="1">
        <v>74</v>
      </c>
      <c r="T309">
        <f>IF(R309=S309,"相符","不相符")</f>
      </c>
      <c r="U309"/>
      <c r="V309">
        <f>P309*R309</f>
      </c>
      <c r="W309">
        <f>Q309*V309</f>
      </c>
      <c r="X309">
        <v>1095</v>
      </c>
      <c r="Y309" t="s">
        <v>853</v>
      </c>
      <c r="Z309" t="s">
        <v>653</v>
      </c>
      <c r="AA309"/>
      <c r="AB309"/>
      <c r="AC309" t="s">
        <v>243</v>
      </c>
      <c r="AD309"/>
    </row>
    <row r="310">
      <c r="A310" t="s">
        <v>30</v>
      </c>
      <c r="B310" t="s">
        <v>254</v>
      </c>
      <c r="C310" t="s">
        <v>841</v>
      </c>
      <c r="D310" t="s">
        <v>262</v>
      </c>
      <c r="E310" t="s">
        <v>263</v>
      </c>
      <c r="F310" s="2">
        <v>46289</v>
      </c>
      <c r="G310">
        <v>6</v>
      </c>
      <c r="H310" t="s">
        <v>854</v>
      </c>
      <c r="I310" t="s">
        <v>855</v>
      </c>
      <c r="J310" t="s">
        <v>856</v>
      </c>
      <c r="K310" t="s">
        <v>258</v>
      </c>
      <c r="L310" t="s">
        <v>857</v>
      </c>
      <c r="M310">
        <v>19</v>
      </c>
      <c r="N310">
        <v>19</v>
      </c>
      <c r="O310" t="s">
        <v>84</v>
      </c>
      <c r="P310">
        <v>1</v>
      </c>
      <c r="Q310">
        <f>N310/P310</f>
      </c>
      <c r="R310" s="1">
        <v>480</v>
      </c>
      <c r="S310" s="1">
        <v>480</v>
      </c>
      <c r="T310">
        <f>IF(R310=S310,"相符","不相符")</f>
      </c>
      <c r="U310"/>
      <c r="V310">
        <f>P310*R310</f>
      </c>
      <c r="W310">
        <f>Q310*V310</f>
      </c>
      <c r="X310">
        <v>1825</v>
      </c>
      <c r="Y310" t="s">
        <v>842</v>
      </c>
      <c r="Z310" t="s">
        <v>653</v>
      </c>
      <c r="AA310"/>
      <c r="AB310"/>
      <c r="AC310" t="s">
        <v>243</v>
      </c>
      <c r="AD310"/>
    </row>
    <row r="311">
      <c r="A311" t="s">
        <v>30</v>
      </c>
      <c r="B311" t="s">
        <v>254</v>
      </c>
      <c r="C311" t="s">
        <v>841</v>
      </c>
      <c r="D311" t="s">
        <v>262</v>
      </c>
      <c r="E311" t="s">
        <v>263</v>
      </c>
      <c r="F311" s="2">
        <v>46289</v>
      </c>
      <c r="G311">
        <v>7</v>
      </c>
      <c r="H311" t="s">
        <v>858</v>
      </c>
      <c r="I311" t="s">
        <v>859</v>
      </c>
      <c r="J311" t="s">
        <v>845</v>
      </c>
      <c r="K311" t="s">
        <v>491</v>
      </c>
      <c r="L311" t="s">
        <v>860</v>
      </c>
      <c r="M311">
        <v>30</v>
      </c>
      <c r="N311">
        <v>30</v>
      </c>
      <c r="O311" t="s">
        <v>84</v>
      </c>
      <c r="P311">
        <v>1</v>
      </c>
      <c r="Q311">
        <f>N311/P311</f>
      </c>
      <c r="R311" s="1">
        <v>683</v>
      </c>
      <c r="S311" s="1">
        <v>683</v>
      </c>
      <c r="T311">
        <f>IF(R311=S311,"相符","不相符")</f>
      </c>
      <c r="U311" t="s">
        <v>861</v>
      </c>
      <c r="V311">
        <f>P311*R311</f>
      </c>
      <c r="W311">
        <f>Q311*V311</f>
      </c>
      <c r="X311">
        <v>1825</v>
      </c>
      <c r="Y311" t="s">
        <v>842</v>
      </c>
      <c r="Z311" t="s">
        <v>653</v>
      </c>
      <c r="AA311"/>
      <c r="AB311"/>
      <c r="AC311" t="s">
        <v>243</v>
      </c>
      <c r="AD311"/>
    </row>
    <row r="312">
      <c r="A312" t="s">
        <v>30</v>
      </c>
      <c r="B312" t="s">
        <v>254</v>
      </c>
      <c r="C312" t="s">
        <v>841</v>
      </c>
      <c r="D312" t="s">
        <v>262</v>
      </c>
      <c r="E312" t="s">
        <v>263</v>
      </c>
      <c r="F312" s="2">
        <v>46289</v>
      </c>
      <c r="G312">
        <v>8</v>
      </c>
      <c r="H312" t="s">
        <v>862</v>
      </c>
      <c r="I312" t="s">
        <v>863</v>
      </c>
      <c r="J312" t="s">
        <v>864</v>
      </c>
      <c r="K312" t="s">
        <v>491</v>
      </c>
      <c r="L312" t="s">
        <v>865</v>
      </c>
      <c r="M312">
        <v>21</v>
      </c>
      <c r="N312">
        <v>21</v>
      </c>
      <c r="O312" t="s">
        <v>84</v>
      </c>
      <c r="P312">
        <v>1</v>
      </c>
      <c r="Q312">
        <f>N312/P312</f>
      </c>
      <c r="R312" s="1">
        <v>1097</v>
      </c>
      <c r="S312" s="1">
        <v>1097</v>
      </c>
      <c r="T312">
        <f>IF(R312=S312,"相符","不相符")</f>
      </c>
      <c r="U312" t="s">
        <v>866</v>
      </c>
      <c r="V312">
        <f>P312*R312</f>
      </c>
      <c r="W312">
        <f>Q312*V312</f>
      </c>
      <c r="X312">
        <v>1825</v>
      </c>
      <c r="Y312" t="s">
        <v>842</v>
      </c>
      <c r="Z312" t="s">
        <v>653</v>
      </c>
      <c r="AA312"/>
      <c r="AB312"/>
      <c r="AC312" t="s">
        <v>243</v>
      </c>
      <c r="AD312"/>
    </row>
    <row r="313">
      <c r="A313" t="s">
        <v>30</v>
      </c>
      <c r="B313" t="s">
        <v>254</v>
      </c>
      <c r="C313" t="s">
        <v>841</v>
      </c>
      <c r="D313" t="s">
        <v>262</v>
      </c>
      <c r="E313" t="s">
        <v>263</v>
      </c>
      <c r="F313" s="2">
        <v>46289</v>
      </c>
      <c r="G313">
        <v>9</v>
      </c>
      <c r="H313" t="s">
        <v>867</v>
      </c>
      <c r="I313" t="s">
        <v>868</v>
      </c>
      <c r="J313" t="s">
        <v>856</v>
      </c>
      <c r="K313" t="s">
        <v>258</v>
      </c>
      <c r="L313" t="s">
        <v>869</v>
      </c>
      <c r="M313">
        <v>1760</v>
      </c>
      <c r="N313">
        <v>1760</v>
      </c>
      <c r="O313" t="s">
        <v>197</v>
      </c>
      <c r="P313">
        <v>8</v>
      </c>
      <c r="Q313">
        <f>N313/P313</f>
      </c>
      <c r="R313" s="1">
        <v>60</v>
      </c>
      <c r="S313" s="1">
        <v>60</v>
      </c>
      <c r="T313">
        <f>IF(R313=S313,"相符","不相符")</f>
      </c>
      <c r="U313"/>
      <c r="V313">
        <f>P313*R313</f>
      </c>
      <c r="W313">
        <f>Q313*V313</f>
      </c>
      <c r="X313">
        <v>1825</v>
      </c>
      <c r="Y313" t="s">
        <v>842</v>
      </c>
      <c r="Z313" t="s">
        <v>653</v>
      </c>
      <c r="AA313"/>
      <c r="AB313"/>
      <c r="AC313" t="s">
        <v>243</v>
      </c>
      <c r="AD313"/>
    </row>
    <row r="314">
      <c r="A314" t="s">
        <v>30</v>
      </c>
      <c r="B314" t="s">
        <v>233</v>
      </c>
      <c r="C314" t="s">
        <v>841</v>
      </c>
      <c r="D314" t="s">
        <v>262</v>
      </c>
      <c r="E314" t="s">
        <v>263</v>
      </c>
      <c r="F314" s="2">
        <v>46289</v>
      </c>
      <c r="G314">
        <v>10</v>
      </c>
      <c r="H314" t="s">
        <v>870</v>
      </c>
      <c r="I314" t="s">
        <v>871</v>
      </c>
      <c r="J314" t="s">
        <v>872</v>
      </c>
      <c r="K314" t="s">
        <v>238</v>
      </c>
      <c r="L314" t="s">
        <v>873</v>
      </c>
      <c r="M314">
        <v>1932</v>
      </c>
      <c r="N314">
        <v>1932</v>
      </c>
      <c r="O314" t="s">
        <v>177</v>
      </c>
      <c r="P314">
        <v>6</v>
      </c>
      <c r="Q314">
        <f>N314/P314</f>
      </c>
      <c r="R314" s="1">
        <v>116</v>
      </c>
      <c r="S314" s="1">
        <v>116</v>
      </c>
      <c r="T314">
        <f>IF(R314=S314,"相符","不相符")</f>
      </c>
      <c r="U314"/>
      <c r="V314">
        <f>P314*R314</f>
      </c>
      <c r="W314">
        <f>Q314*V314</f>
      </c>
      <c r="X314">
        <v>1095</v>
      </c>
      <c r="Y314" t="s">
        <v>853</v>
      </c>
      <c r="Z314" t="s">
        <v>653</v>
      </c>
      <c r="AA314"/>
      <c r="AB314"/>
      <c r="AC314" t="s">
        <v>243</v>
      </c>
      <c r="AD314"/>
    </row>
    <row r="315">
      <c r="A315" t="s">
        <v>30</v>
      </c>
      <c r="B315" t="s">
        <v>233</v>
      </c>
      <c r="C315" t="s">
        <v>841</v>
      </c>
      <c r="D315" t="s">
        <v>262</v>
      </c>
      <c r="E315" t="s">
        <v>263</v>
      </c>
      <c r="F315" s="2">
        <v>46289</v>
      </c>
      <c r="G315">
        <v>11</v>
      </c>
      <c r="H315" t="s">
        <v>874</v>
      </c>
      <c r="I315" t="s">
        <v>875</v>
      </c>
      <c r="J315" t="s">
        <v>251</v>
      </c>
      <c r="K315" t="s">
        <v>238</v>
      </c>
      <c r="L315" t="s">
        <v>876</v>
      </c>
      <c r="M315">
        <v>49</v>
      </c>
      <c r="N315">
        <v>49</v>
      </c>
      <c r="O315" t="s">
        <v>84</v>
      </c>
      <c r="P315">
        <v>1</v>
      </c>
      <c r="Q315">
        <f>N315/P315</f>
      </c>
      <c r="R315" s="1">
        <v>822</v>
      </c>
      <c r="S315" s="1">
        <v>822</v>
      </c>
      <c r="T315">
        <f>IF(R315=S315,"相符","不相符")</f>
      </c>
      <c r="U315"/>
      <c r="V315">
        <f>P315*R315</f>
      </c>
      <c r="W315">
        <f>Q315*V315</f>
      </c>
      <c r="X315">
        <v>1095</v>
      </c>
      <c r="Y315" t="s">
        <v>853</v>
      </c>
      <c r="Z315" t="s">
        <v>653</v>
      </c>
      <c r="AA315"/>
      <c r="AB315"/>
      <c r="AC315" t="s">
        <v>243</v>
      </c>
      <c r="AD315"/>
    </row>
    <row r="316">
      <c r="A316" t="s">
        <v>30</v>
      </c>
      <c r="B316" t="s">
        <v>233</v>
      </c>
      <c r="C316" t="s">
        <v>841</v>
      </c>
      <c r="D316" t="s">
        <v>262</v>
      </c>
      <c r="E316" t="s">
        <v>263</v>
      </c>
      <c r="F316" s="2">
        <v>46289</v>
      </c>
      <c r="G316">
        <v>12</v>
      </c>
      <c r="H316" t="s">
        <v>877</v>
      </c>
      <c r="I316" t="s">
        <v>878</v>
      </c>
      <c r="J316" t="s">
        <v>879</v>
      </c>
      <c r="K316" t="s">
        <v>238</v>
      </c>
      <c r="L316" t="s">
        <v>880</v>
      </c>
      <c r="M316">
        <v>171</v>
      </c>
      <c r="N316">
        <v>171</v>
      </c>
      <c r="O316" t="s">
        <v>84</v>
      </c>
      <c r="P316">
        <v>1</v>
      </c>
      <c r="Q316">
        <f>N316/P316</f>
      </c>
      <c r="R316" s="1">
        <v>696</v>
      </c>
      <c r="S316" s="1">
        <v>1</v>
      </c>
      <c r="T316">
        <f>IF(R316=S316,"相符","不相符")</f>
      </c>
      <c r="U316" t="s">
        <v>879</v>
      </c>
      <c r="V316">
        <f>P316*R316</f>
      </c>
      <c r="W316">
        <f>Q316*V316</f>
      </c>
      <c r="X316">
        <v>1</v>
      </c>
      <c r="Y316" t="s">
        <v>881</v>
      </c>
      <c r="Z316" t="s">
        <v>653</v>
      </c>
      <c r="AA316"/>
      <c r="AB316"/>
      <c r="AC316" t="s">
        <v>243</v>
      </c>
      <c r="AD316"/>
    </row>
    <row r="317">
      <c r="A317" t="s">
        <v>30</v>
      </c>
      <c r="B317" t="s">
        <v>254</v>
      </c>
      <c r="C317" t="s">
        <v>882</v>
      </c>
      <c r="D317" t="s">
        <v>407</v>
      </c>
      <c r="E317" t="s">
        <v>408</v>
      </c>
      <c r="F317" s="2">
        <v>46288</v>
      </c>
      <c r="G317">
        <v>1</v>
      </c>
      <c r="H317" t="s">
        <v>848</v>
      </c>
      <c r="I317" t="s">
        <v>849</v>
      </c>
      <c r="J317" t="s">
        <v>850</v>
      </c>
      <c r="K317" t="s">
        <v>491</v>
      </c>
      <c r="L317" t="s">
        <v>851</v>
      </c>
      <c r="M317">
        <v>90</v>
      </c>
      <c r="N317">
        <v>90</v>
      </c>
      <c r="O317" t="s">
        <v>84</v>
      </c>
      <c r="P317">
        <v>1</v>
      </c>
      <c r="Q317">
        <f>N317/P317</f>
      </c>
      <c r="R317" s="1">
        <v>479</v>
      </c>
      <c r="S317" s="1">
        <v>479</v>
      </c>
      <c r="T317">
        <f>IF(R317=S317,"相符","不相符")</f>
      </c>
      <c r="U317" t="s">
        <v>852</v>
      </c>
      <c r="V317">
        <f>P317*R317</f>
      </c>
      <c r="W317">
        <f>Q317*V317</f>
      </c>
      <c r="X317">
        <v>1825</v>
      </c>
      <c r="Y317" t="s">
        <v>883</v>
      </c>
      <c r="Z317" t="s">
        <v>653</v>
      </c>
      <c r="AA317"/>
      <c r="AB317"/>
      <c r="AC317" t="s">
        <v>243</v>
      </c>
      <c r="AD317"/>
    </row>
    <row r="318">
      <c r="A318" t="s">
        <v>30</v>
      </c>
      <c r="B318" t="s">
        <v>254</v>
      </c>
      <c r="C318" t="s">
        <v>882</v>
      </c>
      <c r="D318" t="s">
        <v>407</v>
      </c>
      <c r="E318" t="s">
        <v>408</v>
      </c>
      <c r="F318" s="2">
        <v>46288</v>
      </c>
      <c r="G318">
        <v>2</v>
      </c>
      <c r="H318" t="s">
        <v>583</v>
      </c>
      <c r="I318" t="s">
        <v>584</v>
      </c>
      <c r="J318" t="s">
        <v>585</v>
      </c>
      <c r="K318" t="s">
        <v>491</v>
      </c>
      <c r="L318" t="s">
        <v>586</v>
      </c>
      <c r="M318">
        <v>300</v>
      </c>
      <c r="N318">
        <v>300</v>
      </c>
      <c r="O318" t="s">
        <v>84</v>
      </c>
      <c r="P318">
        <v>1</v>
      </c>
      <c r="Q318">
        <f>N318/P318</f>
      </c>
      <c r="R318" s="1">
        <v>569</v>
      </c>
      <c r="S318" s="1">
        <v>569</v>
      </c>
      <c r="T318">
        <f>IF(R318=S318,"相符","不相符")</f>
      </c>
      <c r="U318"/>
      <c r="V318">
        <f>P318*R318</f>
      </c>
      <c r="W318">
        <f>Q318*V318</f>
      </c>
      <c r="X318">
        <v>1825</v>
      </c>
      <c r="Y318" t="s">
        <v>883</v>
      </c>
      <c r="Z318" t="s">
        <v>653</v>
      </c>
      <c r="AA318"/>
      <c r="AB318"/>
      <c r="AC318" t="s">
        <v>243</v>
      </c>
      <c r="AD318"/>
    </row>
    <row r="319">
      <c r="A319" t="s">
        <v>30</v>
      </c>
      <c r="B319" t="s">
        <v>254</v>
      </c>
      <c r="C319" t="s">
        <v>882</v>
      </c>
      <c r="D319" t="s">
        <v>407</v>
      </c>
      <c r="E319" t="s">
        <v>408</v>
      </c>
      <c r="F319" s="2">
        <v>46288</v>
      </c>
      <c r="G319">
        <v>3</v>
      </c>
      <c r="H319" t="s">
        <v>854</v>
      </c>
      <c r="I319" t="s">
        <v>855</v>
      </c>
      <c r="J319" t="s">
        <v>856</v>
      </c>
      <c r="K319" t="s">
        <v>258</v>
      </c>
      <c r="L319" t="s">
        <v>857</v>
      </c>
      <c r="M319">
        <v>57</v>
      </c>
      <c r="N319">
        <v>57</v>
      </c>
      <c r="O319" t="s">
        <v>84</v>
      </c>
      <c r="P319">
        <v>1</v>
      </c>
      <c r="Q319">
        <f>N319/P319</f>
      </c>
      <c r="R319" s="1">
        <v>480</v>
      </c>
      <c r="S319" s="1">
        <v>480</v>
      </c>
      <c r="T319">
        <f>IF(R319=S319,"相符","不相符")</f>
      </c>
      <c r="U319"/>
      <c r="V319">
        <f>P319*R319</f>
      </c>
      <c r="W319">
        <f>Q319*V319</f>
      </c>
      <c r="X319">
        <v>1825</v>
      </c>
      <c r="Y319" t="s">
        <v>883</v>
      </c>
      <c r="Z319" t="s">
        <v>653</v>
      </c>
      <c r="AA319"/>
      <c r="AB319"/>
      <c r="AC319" t="s">
        <v>243</v>
      </c>
      <c r="AD319"/>
    </row>
    <row r="320">
      <c r="A320" t="s">
        <v>30</v>
      </c>
      <c r="B320" t="s">
        <v>254</v>
      </c>
      <c r="C320" t="s">
        <v>882</v>
      </c>
      <c r="D320" t="s">
        <v>407</v>
      </c>
      <c r="E320" t="s">
        <v>408</v>
      </c>
      <c r="F320" s="2">
        <v>46288</v>
      </c>
      <c r="G320">
        <v>4</v>
      </c>
      <c r="H320" t="s">
        <v>858</v>
      </c>
      <c r="I320" t="s">
        <v>859</v>
      </c>
      <c r="J320" t="s">
        <v>845</v>
      </c>
      <c r="K320" t="s">
        <v>491</v>
      </c>
      <c r="L320" t="s">
        <v>860</v>
      </c>
      <c r="M320">
        <v>20</v>
      </c>
      <c r="N320">
        <v>20</v>
      </c>
      <c r="O320" t="s">
        <v>84</v>
      </c>
      <c r="P320">
        <v>1</v>
      </c>
      <c r="Q320">
        <f>N320/P320</f>
      </c>
      <c r="R320" s="1">
        <v>683</v>
      </c>
      <c r="S320" s="1">
        <v>683</v>
      </c>
      <c r="T320">
        <f>IF(R320=S320,"相符","不相符")</f>
      </c>
      <c r="U320" t="s">
        <v>861</v>
      </c>
      <c r="V320">
        <f>P320*R320</f>
      </c>
      <c r="W320">
        <f>Q320*V320</f>
      </c>
      <c r="X320">
        <v>1825</v>
      </c>
      <c r="Y320" t="s">
        <v>883</v>
      </c>
      <c r="Z320" t="s">
        <v>653</v>
      </c>
      <c r="AA320"/>
      <c r="AB320"/>
      <c r="AC320" t="s">
        <v>243</v>
      </c>
      <c r="AD320"/>
    </row>
    <row r="321">
      <c r="A321" t="s">
        <v>30</v>
      </c>
      <c r="B321" t="s">
        <v>254</v>
      </c>
      <c r="C321" t="s">
        <v>882</v>
      </c>
      <c r="D321" t="s">
        <v>407</v>
      </c>
      <c r="E321" t="s">
        <v>408</v>
      </c>
      <c r="F321" s="2">
        <v>46288</v>
      </c>
      <c r="G321">
        <v>5</v>
      </c>
      <c r="H321" t="s">
        <v>884</v>
      </c>
      <c r="I321" t="s">
        <v>885</v>
      </c>
      <c r="J321" t="s">
        <v>886</v>
      </c>
      <c r="K321" t="s">
        <v>491</v>
      </c>
      <c r="L321" t="s">
        <v>887</v>
      </c>
      <c r="M321">
        <v>24</v>
      </c>
      <c r="N321">
        <v>24</v>
      </c>
      <c r="O321" t="s">
        <v>84</v>
      </c>
      <c r="P321">
        <v>1</v>
      </c>
      <c r="Q321">
        <f>N321/P321</f>
      </c>
      <c r="R321" s="1">
        <v>958</v>
      </c>
      <c r="S321" s="1">
        <v>958</v>
      </c>
      <c r="T321">
        <f>IF(R321=S321,"相符","不相符")</f>
      </c>
      <c r="U321" t="s">
        <v>578</v>
      </c>
      <c r="V321">
        <f>P321*R321</f>
      </c>
      <c r="W321">
        <f>Q321*V321</f>
      </c>
      <c r="X321">
        <v>1825</v>
      </c>
      <c r="Y321" t="s">
        <v>883</v>
      </c>
      <c r="Z321" t="s">
        <v>653</v>
      </c>
      <c r="AA321"/>
      <c r="AB321"/>
      <c r="AC321" t="s">
        <v>243</v>
      </c>
      <c r="AD321"/>
    </row>
    <row r="322">
      <c r="A322" t="s">
        <v>30</v>
      </c>
      <c r="B322" t="s">
        <v>254</v>
      </c>
      <c r="C322" t="s">
        <v>882</v>
      </c>
      <c r="D322" t="s">
        <v>407</v>
      </c>
      <c r="E322" t="s">
        <v>408</v>
      </c>
      <c r="F322" s="2">
        <v>46288</v>
      </c>
      <c r="G322">
        <v>6</v>
      </c>
      <c r="H322" t="s">
        <v>862</v>
      </c>
      <c r="I322" t="s">
        <v>863</v>
      </c>
      <c r="J322" t="s">
        <v>864</v>
      </c>
      <c r="K322" t="s">
        <v>491</v>
      </c>
      <c r="L322" t="s">
        <v>865</v>
      </c>
      <c r="M322">
        <v>39</v>
      </c>
      <c r="N322">
        <v>39</v>
      </c>
      <c r="O322" t="s">
        <v>84</v>
      </c>
      <c r="P322">
        <v>1</v>
      </c>
      <c r="Q322">
        <f>N322/P322</f>
      </c>
      <c r="R322" s="1">
        <v>1097</v>
      </c>
      <c r="S322" s="1">
        <v>1097</v>
      </c>
      <c r="T322">
        <f>IF(R322=S322,"相符","不相符")</f>
      </c>
      <c r="U322" t="s">
        <v>866</v>
      </c>
      <c r="V322">
        <f>P322*R322</f>
      </c>
      <c r="W322">
        <f>Q322*V322</f>
      </c>
      <c r="X322">
        <v>1825</v>
      </c>
      <c r="Y322" t="s">
        <v>883</v>
      </c>
      <c r="Z322" t="s">
        <v>653</v>
      </c>
      <c r="AA322"/>
      <c r="AB322"/>
      <c r="AC322" t="s">
        <v>243</v>
      </c>
      <c r="AD322"/>
    </row>
    <row r="323">
      <c r="A323" t="s">
        <v>30</v>
      </c>
      <c r="B323"/>
      <c r="C323" t="s">
        <v>888</v>
      </c>
      <c r="D323" t="s">
        <v>191</v>
      </c>
      <c r="E323" t="s">
        <v>192</v>
      </c>
      <c r="F323" s="2">
        <v>46287</v>
      </c>
      <c r="G323">
        <v>1</v>
      </c>
      <c r="H323" t="s">
        <v>889</v>
      </c>
      <c r="I323" t="s">
        <v>890</v>
      </c>
      <c r="J323"/>
      <c r="K323"/>
      <c r="L323" t="s">
        <v>891</v>
      </c>
      <c r="M323">
        <v>30</v>
      </c>
      <c r="N323">
        <v>30</v>
      </c>
      <c r="O323"/>
      <c r="P323">
        <v>0</v>
      </c>
      <c r="Q323">
        <f>N323/P323</f>
      </c>
      <c r="R323" s="1">
        <v>70</v>
      </c>
      <c r="S323" s="1">
        <v>0</v>
      </c>
      <c r="T323">
        <f>IF(R323=S323,"相符","不相符")</f>
      </c>
      <c r="U323"/>
      <c r="V323">
        <f>P323*R323</f>
      </c>
      <c r="W323">
        <f>Q323*V323</f>
      </c>
      <c r="X323">
        <v>0</v>
      </c>
      <c r="Y323" t="s">
        <v>892</v>
      </c>
      <c r="Z323" t="s">
        <v>653</v>
      </c>
      <c r="AA323"/>
      <c r="AB323"/>
      <c r="AC323"/>
      <c r="AD323"/>
    </row>
    <row r="324">
      <c r="A324" t="s">
        <v>30</v>
      </c>
      <c r="B324" t="s">
        <v>233</v>
      </c>
      <c r="C324" t="s">
        <v>893</v>
      </c>
      <c r="D324" t="s">
        <v>191</v>
      </c>
      <c r="E324" t="s">
        <v>192</v>
      </c>
      <c r="F324" s="2">
        <v>46287</v>
      </c>
      <c r="G324">
        <v>1</v>
      </c>
      <c r="H324" t="s">
        <v>480</v>
      </c>
      <c r="I324" t="s">
        <v>481</v>
      </c>
      <c r="J324" t="s">
        <v>482</v>
      </c>
      <c r="K324" t="s">
        <v>238</v>
      </c>
      <c r="L324" t="s">
        <v>483</v>
      </c>
      <c r="M324">
        <v>144</v>
      </c>
      <c r="N324">
        <v>144</v>
      </c>
      <c r="O324" t="s">
        <v>240</v>
      </c>
      <c r="P324">
        <v>6</v>
      </c>
      <c r="Q324">
        <f>N324/P324</f>
      </c>
      <c r="R324" s="1">
        <v>167</v>
      </c>
      <c r="S324" s="1">
        <v>167</v>
      </c>
      <c r="T324">
        <f>IF(R324=S324,"相符","不相符")</f>
      </c>
      <c r="U324"/>
      <c r="V324">
        <f>P324*R324</f>
      </c>
      <c r="W324">
        <f>Q324*V324</f>
      </c>
      <c r="X324">
        <v>1095</v>
      </c>
      <c r="Y324" t="s">
        <v>894</v>
      </c>
      <c r="Z324" t="s">
        <v>653</v>
      </c>
      <c r="AA324"/>
      <c r="AB324"/>
      <c r="AC324" t="s">
        <v>243</v>
      </c>
      <c r="AD324"/>
    </row>
    <row r="325">
      <c r="A325" t="s">
        <v>30</v>
      </c>
      <c r="B325" t="s">
        <v>254</v>
      </c>
      <c r="C325" t="s">
        <v>893</v>
      </c>
      <c r="D325" t="s">
        <v>191</v>
      </c>
      <c r="E325" t="s">
        <v>192</v>
      </c>
      <c r="F325" s="2">
        <v>46287</v>
      </c>
      <c r="G325">
        <v>2</v>
      </c>
      <c r="H325" t="s">
        <v>272</v>
      </c>
      <c r="I325" t="s">
        <v>273</v>
      </c>
      <c r="J325" t="s">
        <v>274</v>
      </c>
      <c r="K325" t="s">
        <v>258</v>
      </c>
      <c r="L325" t="s">
        <v>275</v>
      </c>
      <c r="M325">
        <v>40</v>
      </c>
      <c r="N325">
        <v>40</v>
      </c>
      <c r="O325" t="s">
        <v>197</v>
      </c>
      <c r="P325">
        <v>8</v>
      </c>
      <c r="Q325">
        <f>N325/P325</f>
      </c>
      <c r="R325" s="1">
        <v>65</v>
      </c>
      <c r="S325" s="1">
        <v>65</v>
      </c>
      <c r="T325">
        <f>IF(R325=S325,"相符","不相符")</f>
      </c>
      <c r="U325" t="s">
        <v>276</v>
      </c>
      <c r="V325">
        <f>P325*R325</f>
      </c>
      <c r="W325">
        <f>Q325*V325</f>
      </c>
      <c r="X325">
        <v>1825</v>
      </c>
      <c r="Y325" t="s">
        <v>840</v>
      </c>
      <c r="Z325" t="s">
        <v>653</v>
      </c>
      <c r="AA325"/>
      <c r="AB325"/>
      <c r="AC325" t="s">
        <v>243</v>
      </c>
      <c r="AD325"/>
    </row>
    <row r="326">
      <c r="A326" t="s">
        <v>30</v>
      </c>
      <c r="B326" t="s">
        <v>254</v>
      </c>
      <c r="C326" t="s">
        <v>893</v>
      </c>
      <c r="D326" t="s">
        <v>191</v>
      </c>
      <c r="E326" t="s">
        <v>192</v>
      </c>
      <c r="F326" s="2">
        <v>46287</v>
      </c>
      <c r="G326">
        <v>3</v>
      </c>
      <c r="H326" t="s">
        <v>895</v>
      </c>
      <c r="I326" t="s">
        <v>896</v>
      </c>
      <c r="J326" t="s">
        <v>897</v>
      </c>
      <c r="K326" t="s">
        <v>491</v>
      </c>
      <c r="L326" t="s">
        <v>898</v>
      </c>
      <c r="M326">
        <v>12</v>
      </c>
      <c r="N326">
        <v>12</v>
      </c>
      <c r="O326" t="s">
        <v>197</v>
      </c>
      <c r="P326">
        <v>6</v>
      </c>
      <c r="Q326">
        <f>N326/P326</f>
      </c>
      <c r="R326" s="1">
        <v>92</v>
      </c>
      <c r="S326" s="1">
        <v>92</v>
      </c>
      <c r="T326">
        <f>IF(R326=S326,"相符","不相符")</f>
      </c>
      <c r="U326" t="s">
        <v>899</v>
      </c>
      <c r="V326">
        <f>P326*R326</f>
      </c>
      <c r="W326">
        <f>Q326*V326</f>
      </c>
      <c r="X326">
        <v>1825</v>
      </c>
      <c r="Y326" t="s">
        <v>840</v>
      </c>
      <c r="Z326" t="s">
        <v>653</v>
      </c>
      <c r="AA326"/>
      <c r="AB326"/>
      <c r="AC326" t="s">
        <v>243</v>
      </c>
      <c r="AD326"/>
    </row>
    <row r="327">
      <c r="A327" t="s">
        <v>30</v>
      </c>
      <c r="B327" t="s">
        <v>254</v>
      </c>
      <c r="C327" t="s">
        <v>893</v>
      </c>
      <c r="D327" t="s">
        <v>191</v>
      </c>
      <c r="E327" t="s">
        <v>192</v>
      </c>
      <c r="F327" s="2">
        <v>46287</v>
      </c>
      <c r="G327">
        <v>4</v>
      </c>
      <c r="H327" t="s">
        <v>867</v>
      </c>
      <c r="I327" t="s">
        <v>868</v>
      </c>
      <c r="J327" t="s">
        <v>856</v>
      </c>
      <c r="K327" t="s">
        <v>258</v>
      </c>
      <c r="L327" t="s">
        <v>869</v>
      </c>
      <c r="M327">
        <v>52</v>
      </c>
      <c r="N327">
        <v>52</v>
      </c>
      <c r="O327" t="s">
        <v>197</v>
      </c>
      <c r="P327">
        <v>8</v>
      </c>
      <c r="Q327">
        <f>N327/P327</f>
      </c>
      <c r="R327" s="1">
        <v>60</v>
      </c>
      <c r="S327" s="1">
        <v>60</v>
      </c>
      <c r="T327">
        <f>IF(R327=S327,"相符","不相符")</f>
      </c>
      <c r="U327"/>
      <c r="V327">
        <f>P327*R327</f>
      </c>
      <c r="W327">
        <f>Q327*V327</f>
      </c>
      <c r="X327">
        <v>1825</v>
      </c>
      <c r="Y327" t="s">
        <v>840</v>
      </c>
      <c r="Z327" t="s">
        <v>653</v>
      </c>
      <c r="AA327"/>
      <c r="AB327"/>
      <c r="AC327" t="s">
        <v>243</v>
      </c>
      <c r="AD327"/>
    </row>
    <row r="328">
      <c r="A328" t="s">
        <v>30</v>
      </c>
      <c r="B328" t="s">
        <v>233</v>
      </c>
      <c r="C328" t="s">
        <v>893</v>
      </c>
      <c r="D328" t="s">
        <v>191</v>
      </c>
      <c r="E328" t="s">
        <v>192</v>
      </c>
      <c r="F328" s="2">
        <v>46287</v>
      </c>
      <c r="G328">
        <v>5</v>
      </c>
      <c r="H328" t="s">
        <v>870</v>
      </c>
      <c r="I328" t="s">
        <v>871</v>
      </c>
      <c r="J328" t="s">
        <v>872</v>
      </c>
      <c r="K328" t="s">
        <v>238</v>
      </c>
      <c r="L328" t="s">
        <v>873</v>
      </c>
      <c r="M328">
        <v>6</v>
      </c>
      <c r="N328">
        <v>6</v>
      </c>
      <c r="O328" t="s">
        <v>177</v>
      </c>
      <c r="P328">
        <v>6</v>
      </c>
      <c r="Q328">
        <f>N328/P328</f>
      </c>
      <c r="R328" s="1">
        <v>116</v>
      </c>
      <c r="S328" s="1">
        <v>116</v>
      </c>
      <c r="T328">
        <f>IF(R328=S328,"相符","不相符")</f>
      </c>
      <c r="U328"/>
      <c r="V328">
        <f>P328*R328</f>
      </c>
      <c r="W328">
        <f>Q328*V328</f>
      </c>
      <c r="X328">
        <v>1095</v>
      </c>
      <c r="Y328" t="s">
        <v>894</v>
      </c>
      <c r="Z328" t="s">
        <v>653</v>
      </c>
      <c r="AA328"/>
      <c r="AB328"/>
      <c r="AC328" t="s">
        <v>243</v>
      </c>
      <c r="AD328"/>
    </row>
    <row r="329">
      <c r="A329" t="s">
        <v>30</v>
      </c>
      <c r="B329" t="s">
        <v>233</v>
      </c>
      <c r="C329" t="s">
        <v>893</v>
      </c>
      <c r="D329" t="s">
        <v>191</v>
      </c>
      <c r="E329" t="s">
        <v>192</v>
      </c>
      <c r="F329" s="2">
        <v>46287</v>
      </c>
      <c r="G329">
        <v>6</v>
      </c>
      <c r="H329" t="s">
        <v>900</v>
      </c>
      <c r="I329" t="s">
        <v>901</v>
      </c>
      <c r="J329" t="s">
        <v>902</v>
      </c>
      <c r="K329" t="s">
        <v>238</v>
      </c>
      <c r="L329" t="s">
        <v>903</v>
      </c>
      <c r="M329">
        <v>414</v>
      </c>
      <c r="N329">
        <v>414</v>
      </c>
      <c r="O329" t="s">
        <v>240</v>
      </c>
      <c r="P329">
        <v>12</v>
      </c>
      <c r="Q329">
        <f>N329/P329</f>
      </c>
      <c r="R329" s="1">
        <v>110</v>
      </c>
      <c r="S329" s="1">
        <v>110</v>
      </c>
      <c r="T329">
        <f>IF(R329=S329,"相符","不相符")</f>
      </c>
      <c r="U329"/>
      <c r="V329">
        <f>P329*R329</f>
      </c>
      <c r="W329">
        <f>Q329*V329</f>
      </c>
      <c r="X329">
        <v>1095</v>
      </c>
      <c r="Y329" t="s">
        <v>894</v>
      </c>
      <c r="Z329" t="s">
        <v>653</v>
      </c>
      <c r="AA329"/>
      <c r="AB329"/>
      <c r="AC329" t="s">
        <v>243</v>
      </c>
      <c r="AD329"/>
    </row>
    <row r="330">
      <c r="A330" t="s">
        <v>30</v>
      </c>
      <c r="B330" t="s">
        <v>233</v>
      </c>
      <c r="C330" t="s">
        <v>893</v>
      </c>
      <c r="D330" t="s">
        <v>191</v>
      </c>
      <c r="E330" t="s">
        <v>192</v>
      </c>
      <c r="F330" s="2">
        <v>46287</v>
      </c>
      <c r="G330">
        <v>7</v>
      </c>
      <c r="H330" t="s">
        <v>904</v>
      </c>
      <c r="I330" t="s">
        <v>905</v>
      </c>
      <c r="J330" t="s">
        <v>906</v>
      </c>
      <c r="K330" t="s">
        <v>238</v>
      </c>
      <c r="L330" t="s">
        <v>907</v>
      </c>
      <c r="M330">
        <v>90</v>
      </c>
      <c r="N330">
        <v>90</v>
      </c>
      <c r="O330" t="s">
        <v>40</v>
      </c>
      <c r="P330">
        <v>12</v>
      </c>
      <c r="Q330">
        <f>N330/P330</f>
      </c>
      <c r="R330" s="1">
        <v>299</v>
      </c>
      <c r="S330" s="1">
        <v>299</v>
      </c>
      <c r="T330">
        <f>IF(R330=S330,"相符","不相符")</f>
      </c>
      <c r="U330"/>
      <c r="V330">
        <f>P330*R330</f>
      </c>
      <c r="W330">
        <f>Q330*V330</f>
      </c>
      <c r="X330">
        <v>730</v>
      </c>
      <c r="Y330" t="s">
        <v>908</v>
      </c>
      <c r="Z330" t="s">
        <v>653</v>
      </c>
      <c r="AA330"/>
      <c r="AB330"/>
      <c r="AC330" t="s">
        <v>243</v>
      </c>
      <c r="AD330"/>
    </row>
    <row r="331">
      <c r="A331" t="s">
        <v>30</v>
      </c>
      <c r="B331" t="s">
        <v>254</v>
      </c>
      <c r="C331" t="s">
        <v>909</v>
      </c>
      <c r="D331" t="s">
        <v>464</v>
      </c>
      <c r="E331" t="s">
        <v>465</v>
      </c>
      <c r="F331" s="2">
        <v>46291</v>
      </c>
      <c r="G331">
        <v>1</v>
      </c>
      <c r="H331" t="s">
        <v>843</v>
      </c>
      <c r="I331" t="s">
        <v>844</v>
      </c>
      <c r="J331" t="s">
        <v>845</v>
      </c>
      <c r="K331" t="s">
        <v>491</v>
      </c>
      <c r="L331" t="s">
        <v>846</v>
      </c>
      <c r="M331">
        <v>6</v>
      </c>
      <c r="N331">
        <v>6</v>
      </c>
      <c r="O331" t="s">
        <v>197</v>
      </c>
      <c r="P331">
        <v>3</v>
      </c>
      <c r="Q331">
        <f>N331/P331</f>
      </c>
      <c r="R331" s="1">
        <v>228</v>
      </c>
      <c r="S331" s="1">
        <v>228</v>
      </c>
      <c r="T331">
        <f>IF(R331=S331,"相符","不相符")</f>
      </c>
      <c r="U331" t="s">
        <v>847</v>
      </c>
      <c r="V331">
        <f>P331*R331</f>
      </c>
      <c r="W331">
        <f>Q331*V331</f>
      </c>
      <c r="X331">
        <v>1825</v>
      </c>
      <c r="Y331" t="s">
        <v>277</v>
      </c>
      <c r="Z331" t="s">
        <v>653</v>
      </c>
      <c r="AA331"/>
      <c r="AB331"/>
      <c r="AC331" t="s">
        <v>243</v>
      </c>
      <c r="AD331"/>
    </row>
    <row r="332">
      <c r="A332" t="s">
        <v>30</v>
      </c>
      <c r="B332" t="s">
        <v>233</v>
      </c>
      <c r="C332" t="s">
        <v>909</v>
      </c>
      <c r="D332" t="s">
        <v>464</v>
      </c>
      <c r="E332" t="s">
        <v>465</v>
      </c>
      <c r="F332" s="2">
        <v>46291</v>
      </c>
      <c r="G332">
        <v>2</v>
      </c>
      <c r="H332" t="s">
        <v>874</v>
      </c>
      <c r="I332" t="s">
        <v>875</v>
      </c>
      <c r="J332" t="s">
        <v>251</v>
      </c>
      <c r="K332" t="s">
        <v>238</v>
      </c>
      <c r="L332" t="s">
        <v>876</v>
      </c>
      <c r="M332">
        <v>5</v>
      </c>
      <c r="N332">
        <v>5</v>
      </c>
      <c r="O332" t="s">
        <v>84</v>
      </c>
      <c r="P332">
        <v>1</v>
      </c>
      <c r="Q332">
        <f>N332/P332</f>
      </c>
      <c r="R332" s="1">
        <v>822</v>
      </c>
      <c r="S332" s="1">
        <v>822</v>
      </c>
      <c r="T332">
        <f>IF(R332=S332,"相符","不相符")</f>
      </c>
      <c r="U332"/>
      <c r="V332">
        <f>P332*R332</f>
      </c>
      <c r="W332">
        <f>Q332*V332</f>
      </c>
      <c r="X332">
        <v>1095</v>
      </c>
      <c r="Y332" t="s">
        <v>282</v>
      </c>
      <c r="Z332" t="s">
        <v>653</v>
      </c>
      <c r="AA332"/>
      <c r="AB332"/>
      <c r="AC332" t="s">
        <v>243</v>
      </c>
      <c r="AD332"/>
    </row>
    <row r="333">
      <c r="A333" t="s">
        <v>30</v>
      </c>
      <c r="B333" t="s">
        <v>233</v>
      </c>
      <c r="C333" t="s">
        <v>909</v>
      </c>
      <c r="D333" t="s">
        <v>464</v>
      </c>
      <c r="E333" t="s">
        <v>465</v>
      </c>
      <c r="F333" s="2">
        <v>46291</v>
      </c>
      <c r="G333">
        <v>3</v>
      </c>
      <c r="H333" t="s">
        <v>877</v>
      </c>
      <c r="I333" t="s">
        <v>878</v>
      </c>
      <c r="J333" t="s">
        <v>879</v>
      </c>
      <c r="K333" t="s">
        <v>238</v>
      </c>
      <c r="L333" t="s">
        <v>880</v>
      </c>
      <c r="M333">
        <v>21</v>
      </c>
      <c r="N333">
        <v>21</v>
      </c>
      <c r="O333" t="s">
        <v>84</v>
      </c>
      <c r="P333">
        <v>1</v>
      </c>
      <c r="Q333">
        <f>N333/P333</f>
      </c>
      <c r="R333" s="1">
        <v>696</v>
      </c>
      <c r="S333" s="1">
        <v>1</v>
      </c>
      <c r="T333">
        <f>IF(R333=S333,"相符","不相符")</f>
      </c>
      <c r="U333" t="s">
        <v>879</v>
      </c>
      <c r="V333">
        <f>P333*R333</f>
      </c>
      <c r="W333">
        <f>Q333*V333</f>
      </c>
      <c r="X333">
        <v>1</v>
      </c>
      <c r="Y333" t="s">
        <v>910</v>
      </c>
      <c r="Z333" t="s">
        <v>653</v>
      </c>
      <c r="AA333"/>
      <c r="AB333"/>
      <c r="AC333" t="s">
        <v>243</v>
      </c>
      <c r="AD333"/>
    </row>
    <row r="334">
      <c r="A334" t="s">
        <v>30</v>
      </c>
      <c r="B334" t="s">
        <v>233</v>
      </c>
      <c r="C334" t="s">
        <v>911</v>
      </c>
      <c r="D334" t="s">
        <v>33</v>
      </c>
      <c r="E334" t="s">
        <v>34</v>
      </c>
      <c r="F334" s="2">
        <v>46291</v>
      </c>
      <c r="G334">
        <v>1</v>
      </c>
      <c r="H334" t="s">
        <v>912</v>
      </c>
      <c r="I334" t="s">
        <v>913</v>
      </c>
      <c r="J334" t="s">
        <v>914</v>
      </c>
      <c r="K334" t="s">
        <v>238</v>
      </c>
      <c r="L334" t="s">
        <v>915</v>
      </c>
      <c r="M334">
        <v>258</v>
      </c>
      <c r="N334">
        <v>258</v>
      </c>
      <c r="O334" t="s">
        <v>40</v>
      </c>
      <c r="P334">
        <v>12</v>
      </c>
      <c r="Q334">
        <f>N334/P334</f>
      </c>
      <c r="R334" s="1">
        <v>56</v>
      </c>
      <c r="S334" s="1">
        <v>70</v>
      </c>
      <c r="T334">
        <f>IF(R334=S334,"相符","不相符")</f>
      </c>
      <c r="U334" t="s">
        <v>916</v>
      </c>
      <c r="V334">
        <f>P334*R334</f>
      </c>
      <c r="W334">
        <f>Q334*V334</f>
      </c>
      <c r="X334">
        <v>540</v>
      </c>
      <c r="Y334" t="s">
        <v>917</v>
      </c>
      <c r="Z334" t="s">
        <v>653</v>
      </c>
      <c r="AA334"/>
      <c r="AB334"/>
      <c r="AC334" t="s">
        <v>243</v>
      </c>
      <c r="AD334"/>
    </row>
    <row r="335">
      <c r="A335" t="s">
        <v>30</v>
      </c>
      <c r="B335" t="s">
        <v>254</v>
      </c>
      <c r="C335" t="s">
        <v>911</v>
      </c>
      <c r="D335" t="s">
        <v>33</v>
      </c>
      <c r="E335" t="s">
        <v>34</v>
      </c>
      <c r="F335" s="2">
        <v>46291</v>
      </c>
      <c r="G335">
        <v>2</v>
      </c>
      <c r="H335" t="s">
        <v>918</v>
      </c>
      <c r="I335" t="s">
        <v>919</v>
      </c>
      <c r="J335" t="s">
        <v>864</v>
      </c>
      <c r="K335" t="s">
        <v>491</v>
      </c>
      <c r="L335" t="s">
        <v>920</v>
      </c>
      <c r="M335">
        <v>114</v>
      </c>
      <c r="N335">
        <v>114</v>
      </c>
      <c r="O335" t="s">
        <v>197</v>
      </c>
      <c r="P335">
        <v>20</v>
      </c>
      <c r="Q335">
        <f>N335/P335</f>
      </c>
      <c r="R335" s="1">
        <v>57</v>
      </c>
      <c r="S335" s="1">
        <v>57</v>
      </c>
      <c r="T335">
        <f>IF(R335=S335,"相符","不相符")</f>
      </c>
      <c r="U335" t="s">
        <v>866</v>
      </c>
      <c r="V335">
        <f>P335*R335</f>
      </c>
      <c r="W335">
        <f>Q335*V335</f>
      </c>
      <c r="X335">
        <v>1825</v>
      </c>
      <c r="Y335" t="s">
        <v>277</v>
      </c>
      <c r="Z335" t="s">
        <v>653</v>
      </c>
      <c r="AA335"/>
      <c r="AB335"/>
      <c r="AC335" t="s">
        <v>243</v>
      </c>
      <c r="AD335"/>
    </row>
    <row r="336">
      <c r="A336" t="s">
        <v>30</v>
      </c>
      <c r="B336" t="s">
        <v>31</v>
      </c>
      <c r="C336" t="s">
        <v>921</v>
      </c>
      <c r="D336" t="s">
        <v>604</v>
      </c>
      <c r="E336" t="s">
        <v>605</v>
      </c>
      <c r="F336" s="2">
        <v>46281</v>
      </c>
      <c r="G336">
        <v>1</v>
      </c>
      <c r="H336" t="s">
        <v>410</v>
      </c>
      <c r="I336" t="s">
        <v>411</v>
      </c>
      <c r="J336" t="s">
        <v>412</v>
      </c>
      <c r="K336" t="s">
        <v>210</v>
      </c>
      <c r="L336" t="s">
        <v>413</v>
      </c>
      <c r="M336">
        <v>50</v>
      </c>
      <c r="N336">
        <v>50</v>
      </c>
      <c r="O336" t="s">
        <v>84</v>
      </c>
      <c r="P336">
        <v>1</v>
      </c>
      <c r="Q336">
        <f>N336/P336</f>
      </c>
      <c r="R336" s="1">
        <v>960</v>
      </c>
      <c r="S336" s="1">
        <v>960</v>
      </c>
      <c r="T336">
        <f>IF(R336=S336,"相符","不相符")</f>
      </c>
      <c r="U336" t="s">
        <v>414</v>
      </c>
      <c r="V336">
        <f>P336*R336</f>
      </c>
      <c r="W336">
        <f>Q336*V336</f>
      </c>
      <c r="X336">
        <v>730</v>
      </c>
      <c r="Y336" t="s">
        <v>41</v>
      </c>
      <c r="Z336" t="s">
        <v>42</v>
      </c>
      <c r="AA336"/>
      <c r="AB336"/>
      <c r="AC336" t="s">
        <v>43</v>
      </c>
      <c r="AD336"/>
    </row>
    <row r="337">
      <c r="A337" t="s">
        <v>30</v>
      </c>
      <c r="B337" t="s">
        <v>31</v>
      </c>
      <c r="C337" t="s">
        <v>922</v>
      </c>
      <c r="D337" t="s">
        <v>191</v>
      </c>
      <c r="E337" t="s">
        <v>192</v>
      </c>
      <c r="F337" s="2">
        <v>46281</v>
      </c>
      <c r="G337">
        <v>1</v>
      </c>
      <c r="H337" t="s">
        <v>108</v>
      </c>
      <c r="I337" t="s">
        <v>109</v>
      </c>
      <c r="J337" t="s">
        <v>110</v>
      </c>
      <c r="K337" t="s">
        <v>57</v>
      </c>
      <c r="L337" t="s">
        <v>111</v>
      </c>
      <c r="M337">
        <v>32</v>
      </c>
      <c r="N337">
        <v>32</v>
      </c>
      <c r="O337" t="s">
        <v>84</v>
      </c>
      <c r="P337">
        <v>1</v>
      </c>
      <c r="Q337">
        <f>N337/P337</f>
      </c>
      <c r="R337" s="1">
        <v>394</v>
      </c>
      <c r="S337" s="1">
        <v>394</v>
      </c>
      <c r="T337">
        <f>IF(R337=S337,"相符","不相符")</f>
      </c>
      <c r="U337" t="s">
        <v>110</v>
      </c>
      <c r="V337">
        <f>P337*R337</f>
      </c>
      <c r="W337">
        <f>Q337*V337</f>
      </c>
      <c r="X337">
        <v>730</v>
      </c>
      <c r="Y337" t="s">
        <v>41</v>
      </c>
      <c r="Z337" t="s">
        <v>923</v>
      </c>
      <c r="AA337"/>
      <c r="AB337"/>
      <c r="AC337" t="s">
        <v>43</v>
      </c>
      <c r="AD337"/>
    </row>
    <row r="338">
      <c r="A338" t="s">
        <v>30</v>
      </c>
      <c r="B338" t="s">
        <v>31</v>
      </c>
      <c r="C338" t="s">
        <v>922</v>
      </c>
      <c r="D338" t="s">
        <v>191</v>
      </c>
      <c r="E338" t="s">
        <v>192</v>
      </c>
      <c r="F338" s="2">
        <v>46281</v>
      </c>
      <c r="G338">
        <v>2</v>
      </c>
      <c r="H338" t="s">
        <v>360</v>
      </c>
      <c r="I338" t="s">
        <v>361</v>
      </c>
      <c r="J338" t="s">
        <v>362</v>
      </c>
      <c r="K338" t="s">
        <v>82</v>
      </c>
      <c r="L338" t="s">
        <v>363</v>
      </c>
      <c r="M338">
        <v>30</v>
      </c>
      <c r="N338">
        <v>30</v>
      </c>
      <c r="O338" t="s">
        <v>84</v>
      </c>
      <c r="P338">
        <v>1</v>
      </c>
      <c r="Q338">
        <f>N338/P338</f>
      </c>
      <c r="R338" s="1">
        <v>635</v>
      </c>
      <c r="S338" s="1">
        <v>635</v>
      </c>
      <c r="T338">
        <f>IF(R338=S338,"相符","不相符")</f>
      </c>
      <c r="U338" t="s">
        <v>362</v>
      </c>
      <c r="V338">
        <f>P338*R338</f>
      </c>
      <c r="W338">
        <f>Q338*V338</f>
      </c>
      <c r="X338">
        <v>730</v>
      </c>
      <c r="Y338" t="s">
        <v>116</v>
      </c>
      <c r="Z338" t="s">
        <v>923</v>
      </c>
      <c r="AA338"/>
      <c r="AB338"/>
      <c r="AC338" t="s">
        <v>43</v>
      </c>
      <c r="AD338"/>
    </row>
    <row r="339">
      <c r="A339" t="s">
        <v>30</v>
      </c>
      <c r="B339" t="s">
        <v>31</v>
      </c>
      <c r="C339" t="s">
        <v>924</v>
      </c>
      <c r="D339" t="s">
        <v>191</v>
      </c>
      <c r="E339" t="s">
        <v>192</v>
      </c>
      <c r="F339" s="2">
        <v>46281</v>
      </c>
      <c r="G339">
        <v>1</v>
      </c>
      <c r="H339" t="s">
        <v>925</v>
      </c>
      <c r="I339" t="s">
        <v>926</v>
      </c>
      <c r="J339" t="s">
        <v>927</v>
      </c>
      <c r="K339" t="s">
        <v>63</v>
      </c>
      <c r="L339" t="s">
        <v>928</v>
      </c>
      <c r="M339">
        <v>48</v>
      </c>
      <c r="N339">
        <v>48</v>
      </c>
      <c r="O339" t="s">
        <v>40</v>
      </c>
      <c r="P339">
        <v>12</v>
      </c>
      <c r="Q339">
        <f>N339/P339</f>
      </c>
      <c r="R339" s="1">
        <v>317</v>
      </c>
      <c r="S339" s="1">
        <v>317</v>
      </c>
      <c r="T339">
        <f>IF(R339=S339,"相符","不相符")</f>
      </c>
      <c r="U339" t="s">
        <v>927</v>
      </c>
      <c r="V339">
        <f>P339*R339</f>
      </c>
      <c r="W339">
        <f>Q339*V339</f>
      </c>
      <c r="X339">
        <v>450</v>
      </c>
      <c r="Y339" t="s">
        <v>65</v>
      </c>
      <c r="Z339" t="s">
        <v>929</v>
      </c>
      <c r="AA339"/>
      <c r="AB339"/>
      <c r="AC339" t="s">
        <v>43</v>
      </c>
      <c r="AD339"/>
    </row>
    <row r="340">
      <c r="A340" t="s">
        <v>30</v>
      </c>
      <c r="B340" t="s">
        <v>31</v>
      </c>
      <c r="C340" t="s">
        <v>924</v>
      </c>
      <c r="D340" t="s">
        <v>191</v>
      </c>
      <c r="E340" t="s">
        <v>192</v>
      </c>
      <c r="F340" s="2">
        <v>46281</v>
      </c>
      <c r="G340">
        <v>2</v>
      </c>
      <c r="H340" t="s">
        <v>60</v>
      </c>
      <c r="I340" t="s">
        <v>61</v>
      </c>
      <c r="J340" t="s">
        <v>62</v>
      </c>
      <c r="K340" t="s">
        <v>63</v>
      </c>
      <c r="L340" t="s">
        <v>64</v>
      </c>
      <c r="M340">
        <v>12</v>
      </c>
      <c r="N340">
        <v>12</v>
      </c>
      <c r="O340" t="s">
        <v>40</v>
      </c>
      <c r="P340">
        <v>12</v>
      </c>
      <c r="Q340">
        <f>N340/P340</f>
      </c>
      <c r="R340" s="1">
        <v>317</v>
      </c>
      <c r="S340" s="1">
        <v>317</v>
      </c>
      <c r="T340">
        <f>IF(R340=S340,"相符","不相符")</f>
      </c>
      <c r="U340" t="s">
        <v>62</v>
      </c>
      <c r="V340">
        <f>P340*R340</f>
      </c>
      <c r="W340">
        <f>Q340*V340</f>
      </c>
      <c r="X340">
        <v>450</v>
      </c>
      <c r="Y340" t="s">
        <v>65</v>
      </c>
      <c r="Z340" t="s">
        <v>929</v>
      </c>
      <c r="AA340"/>
      <c r="AB340"/>
      <c r="AC340" t="s">
        <v>43</v>
      </c>
      <c r="AD340"/>
    </row>
    <row r="341">
      <c r="A341" t="s">
        <v>30</v>
      </c>
      <c r="B341" t="s">
        <v>31</v>
      </c>
      <c r="C341" t="s">
        <v>924</v>
      </c>
      <c r="D341" t="s">
        <v>191</v>
      </c>
      <c r="E341" t="s">
        <v>192</v>
      </c>
      <c r="F341" s="2">
        <v>46281</v>
      </c>
      <c r="G341">
        <v>3</v>
      </c>
      <c r="H341" t="s">
        <v>930</v>
      </c>
      <c r="I341" t="s">
        <v>931</v>
      </c>
      <c r="J341" t="s">
        <v>932</v>
      </c>
      <c r="K341" t="s">
        <v>63</v>
      </c>
      <c r="L341" t="s">
        <v>933</v>
      </c>
      <c r="M341">
        <v>48</v>
      </c>
      <c r="N341">
        <v>48</v>
      </c>
      <c r="O341" t="s">
        <v>40</v>
      </c>
      <c r="P341">
        <v>12</v>
      </c>
      <c r="Q341">
        <f>N341/P341</f>
      </c>
      <c r="R341" s="1">
        <v>317</v>
      </c>
      <c r="S341" s="1">
        <v>317</v>
      </c>
      <c r="T341">
        <f>IF(R341=S341,"相符","不相符")</f>
      </c>
      <c r="U341" t="s">
        <v>932</v>
      </c>
      <c r="V341">
        <f>P341*R341</f>
      </c>
      <c r="W341">
        <f>Q341*V341</f>
      </c>
      <c r="X341">
        <v>450</v>
      </c>
      <c r="Y341" t="s">
        <v>65</v>
      </c>
      <c r="Z341" t="s">
        <v>929</v>
      </c>
      <c r="AA341"/>
      <c r="AB341"/>
      <c r="AC341" t="s">
        <v>43</v>
      </c>
      <c r="AD341"/>
    </row>
    <row r="342">
      <c r="A342" t="s">
        <v>30</v>
      </c>
      <c r="B342" t="s">
        <v>31</v>
      </c>
      <c r="C342" t="s">
        <v>924</v>
      </c>
      <c r="D342" t="s">
        <v>191</v>
      </c>
      <c r="E342" t="s">
        <v>192</v>
      </c>
      <c r="F342" s="2">
        <v>46281</v>
      </c>
      <c r="G342">
        <v>4</v>
      </c>
      <c r="H342" t="s">
        <v>148</v>
      </c>
      <c r="I342" t="s">
        <v>149</v>
      </c>
      <c r="J342" t="s">
        <v>150</v>
      </c>
      <c r="K342" t="s">
        <v>75</v>
      </c>
      <c r="L342" t="s">
        <v>151</v>
      </c>
      <c r="M342">
        <v>84</v>
      </c>
      <c r="N342">
        <v>84</v>
      </c>
      <c r="O342" t="s">
        <v>40</v>
      </c>
      <c r="P342">
        <v>6</v>
      </c>
      <c r="Q342">
        <f>N342/P342</f>
      </c>
      <c r="R342" s="1">
        <v>511</v>
      </c>
      <c r="S342" s="1">
        <v>511</v>
      </c>
      <c r="T342">
        <f>IF(R342=S342,"相符","不相符")</f>
      </c>
      <c r="U342" t="s">
        <v>152</v>
      </c>
      <c r="V342">
        <f>P342*R342</f>
      </c>
      <c r="W342">
        <f>Q342*V342</f>
      </c>
      <c r="X342">
        <v>365</v>
      </c>
      <c r="Y342" t="s">
        <v>78</v>
      </c>
      <c r="Z342" t="s">
        <v>929</v>
      </c>
      <c r="AA342"/>
      <c r="AB342"/>
      <c r="AC342" t="s">
        <v>43</v>
      </c>
      <c r="AD342"/>
    </row>
    <row r="343">
      <c r="A343" t="s">
        <v>30</v>
      </c>
      <c r="B343" t="s">
        <v>31</v>
      </c>
      <c r="C343" t="s">
        <v>924</v>
      </c>
      <c r="D343" t="s">
        <v>191</v>
      </c>
      <c r="E343" t="s">
        <v>192</v>
      </c>
      <c r="F343" s="2">
        <v>46281</v>
      </c>
      <c r="G343">
        <v>5</v>
      </c>
      <c r="H343" t="s">
        <v>528</v>
      </c>
      <c r="I343" t="s">
        <v>529</v>
      </c>
      <c r="J343" t="s">
        <v>530</v>
      </c>
      <c r="K343" t="s">
        <v>121</v>
      </c>
      <c r="L343" t="s">
        <v>531</v>
      </c>
      <c r="M343">
        <v>12</v>
      </c>
      <c r="N343">
        <v>12</v>
      </c>
      <c r="O343" t="s">
        <v>40</v>
      </c>
      <c r="P343">
        <v>6</v>
      </c>
      <c r="Q343">
        <f>N343/P343</f>
      </c>
      <c r="R343" s="1">
        <v>511</v>
      </c>
      <c r="S343" s="1">
        <v>511</v>
      </c>
      <c r="T343">
        <f>IF(R343=S343,"相符","不相符")</f>
      </c>
      <c r="U343" t="s">
        <v>532</v>
      </c>
      <c r="V343">
        <f>P343*R343</f>
      </c>
      <c r="W343">
        <f>Q343*V343</f>
      </c>
      <c r="X343">
        <v>365</v>
      </c>
      <c r="Y343" t="s">
        <v>78</v>
      </c>
      <c r="Z343" t="s">
        <v>929</v>
      </c>
      <c r="AA343"/>
      <c r="AB343"/>
      <c r="AC343" t="s">
        <v>43</v>
      </c>
      <c r="AD343"/>
    </row>
    <row r="344">
      <c r="A344" t="s">
        <v>30</v>
      </c>
      <c r="B344" t="s">
        <v>31</v>
      </c>
      <c r="C344" t="s">
        <v>924</v>
      </c>
      <c r="D344" t="s">
        <v>191</v>
      </c>
      <c r="E344" t="s">
        <v>192</v>
      </c>
      <c r="F344" s="2">
        <v>46281</v>
      </c>
      <c r="G344">
        <v>6</v>
      </c>
      <c r="H344" t="s">
        <v>934</v>
      </c>
      <c r="I344" t="s">
        <v>935</v>
      </c>
      <c r="J344" t="s">
        <v>936</v>
      </c>
      <c r="K344" t="s">
        <v>121</v>
      </c>
      <c r="L344" t="s">
        <v>937</v>
      </c>
      <c r="M344">
        <v>240</v>
      </c>
      <c r="N344">
        <v>240</v>
      </c>
      <c r="O344" t="s">
        <v>40</v>
      </c>
      <c r="P344">
        <v>30</v>
      </c>
      <c r="Q344">
        <f>N344/P344</f>
      </c>
      <c r="R344" s="1">
        <v>99</v>
      </c>
      <c r="S344" s="1">
        <v>99</v>
      </c>
      <c r="T344">
        <f>IF(R344=S344,"相符","不相符")</f>
      </c>
      <c r="U344" t="s">
        <v>936</v>
      </c>
      <c r="V344">
        <f>P344*R344</f>
      </c>
      <c r="W344">
        <f>Q344*V344</f>
      </c>
      <c r="X344">
        <v>365</v>
      </c>
      <c r="Y344" t="s">
        <v>78</v>
      </c>
      <c r="Z344" t="s">
        <v>929</v>
      </c>
      <c r="AA344"/>
      <c r="AB344"/>
      <c r="AC344" t="s">
        <v>43</v>
      </c>
      <c r="AD344"/>
    </row>
    <row r="345">
      <c r="A345" t="s">
        <v>30</v>
      </c>
      <c r="B345" t="s">
        <v>31</v>
      </c>
      <c r="C345" t="s">
        <v>924</v>
      </c>
      <c r="D345" t="s">
        <v>191</v>
      </c>
      <c r="E345" t="s">
        <v>192</v>
      </c>
      <c r="F345" s="2">
        <v>46281</v>
      </c>
      <c r="G345">
        <v>7</v>
      </c>
      <c r="H345" t="s">
        <v>546</v>
      </c>
      <c r="I345" t="s">
        <v>547</v>
      </c>
      <c r="J345" t="s">
        <v>548</v>
      </c>
      <c r="K345" t="s">
        <v>121</v>
      </c>
      <c r="L345" t="s">
        <v>549</v>
      </c>
      <c r="M345">
        <v>48</v>
      </c>
      <c r="N345">
        <v>48</v>
      </c>
      <c r="O345" t="s">
        <v>40</v>
      </c>
      <c r="P345">
        <v>6</v>
      </c>
      <c r="Q345">
        <f>N345/P345</f>
      </c>
      <c r="R345" s="1">
        <v>511</v>
      </c>
      <c r="S345" s="1">
        <v>511</v>
      </c>
      <c r="T345">
        <f>IF(R345=S345,"相符","不相符")</f>
      </c>
      <c r="U345" t="s">
        <v>550</v>
      </c>
      <c r="V345">
        <f>P345*R345</f>
      </c>
      <c r="W345">
        <f>Q345*V345</f>
      </c>
      <c r="X345">
        <v>365</v>
      </c>
      <c r="Y345" t="s">
        <v>78</v>
      </c>
      <c r="Z345" t="s">
        <v>929</v>
      </c>
      <c r="AA345"/>
      <c r="AB345"/>
      <c r="AC345" t="s">
        <v>43</v>
      </c>
      <c r="AD345"/>
    </row>
    <row r="346">
      <c r="A346" t="s">
        <v>30</v>
      </c>
      <c r="B346" t="s">
        <v>31</v>
      </c>
      <c r="C346" t="s">
        <v>924</v>
      </c>
      <c r="D346" t="s">
        <v>191</v>
      </c>
      <c r="E346" t="s">
        <v>192</v>
      </c>
      <c r="F346" s="2">
        <v>46281</v>
      </c>
      <c r="G346">
        <v>8</v>
      </c>
      <c r="H346" t="s">
        <v>533</v>
      </c>
      <c r="I346" t="s">
        <v>534</v>
      </c>
      <c r="J346" t="s">
        <v>535</v>
      </c>
      <c r="K346" t="s">
        <v>63</v>
      </c>
      <c r="L346" t="s">
        <v>536</v>
      </c>
      <c r="M346">
        <v>46</v>
      </c>
      <c r="N346">
        <v>36</v>
      </c>
      <c r="O346" t="s">
        <v>40</v>
      </c>
      <c r="P346">
        <v>12</v>
      </c>
      <c r="Q346">
        <f>N346/P346</f>
      </c>
      <c r="R346" s="1">
        <v>317</v>
      </c>
      <c r="S346" s="1">
        <v>317</v>
      </c>
      <c r="T346">
        <f>IF(R346=S346,"相符","不相符")</f>
      </c>
      <c r="U346" t="s">
        <v>535</v>
      </c>
      <c r="V346">
        <f>P346*R346</f>
      </c>
      <c r="W346">
        <f>Q346*V346</f>
      </c>
      <c r="X346">
        <v>450</v>
      </c>
      <c r="Y346" t="s">
        <v>147</v>
      </c>
      <c r="Z346" t="s">
        <v>929</v>
      </c>
      <c r="AA346"/>
      <c r="AB346"/>
      <c r="AC346" t="s">
        <v>43</v>
      </c>
      <c r="AD346"/>
    </row>
    <row r="347">
      <c r="A347" t="s">
        <v>30</v>
      </c>
      <c r="B347" t="s">
        <v>31</v>
      </c>
      <c r="C347" t="s">
        <v>924</v>
      </c>
      <c r="D347" t="s">
        <v>191</v>
      </c>
      <c r="E347" t="s">
        <v>192</v>
      </c>
      <c r="F347" s="2">
        <v>46281</v>
      </c>
      <c r="G347">
        <v>9</v>
      </c>
      <c r="H347" t="s">
        <v>178</v>
      </c>
      <c r="I347" t="s">
        <v>179</v>
      </c>
      <c r="J347" t="s">
        <v>180</v>
      </c>
      <c r="K347" t="s">
        <v>75</v>
      </c>
      <c r="L347" t="s">
        <v>181</v>
      </c>
      <c r="M347">
        <v>168</v>
      </c>
      <c r="N347">
        <v>168</v>
      </c>
      <c r="O347" t="s">
        <v>40</v>
      </c>
      <c r="P347">
        <v>6</v>
      </c>
      <c r="Q347">
        <f>N347/P347</f>
      </c>
      <c r="R347" s="1">
        <v>511</v>
      </c>
      <c r="S347" s="1">
        <v>511</v>
      </c>
      <c r="T347">
        <f>IF(R347=S347,"相符","不相符")</f>
      </c>
      <c r="U347" t="s">
        <v>182</v>
      </c>
      <c r="V347">
        <f>P347*R347</f>
      </c>
      <c r="W347">
        <f>Q347*V347</f>
      </c>
      <c r="X347">
        <v>365</v>
      </c>
      <c r="Y347" t="s">
        <v>183</v>
      </c>
      <c r="Z347" t="s">
        <v>929</v>
      </c>
      <c r="AA347"/>
      <c r="AB347"/>
      <c r="AC347" t="s">
        <v>43</v>
      </c>
      <c r="AD347"/>
    </row>
    <row r="348">
      <c r="A348" t="s">
        <v>30</v>
      </c>
      <c r="B348" t="s">
        <v>31</v>
      </c>
      <c r="C348" t="s">
        <v>938</v>
      </c>
      <c r="D348" t="s">
        <v>191</v>
      </c>
      <c r="E348" t="s">
        <v>192</v>
      </c>
      <c r="F348" s="2">
        <v>46281</v>
      </c>
      <c r="G348">
        <v>1</v>
      </c>
      <c r="H348" t="s">
        <v>398</v>
      </c>
      <c r="I348" t="s">
        <v>399</v>
      </c>
      <c r="J348" t="s">
        <v>400</v>
      </c>
      <c r="K348" t="s">
        <v>69</v>
      </c>
      <c r="L348" t="s">
        <v>401</v>
      </c>
      <c r="M348">
        <v>36</v>
      </c>
      <c r="N348">
        <v>36</v>
      </c>
      <c r="O348" t="s">
        <v>40</v>
      </c>
      <c r="P348">
        <v>4</v>
      </c>
      <c r="Q348">
        <f>N348/P348</f>
      </c>
      <c r="R348" s="1">
        <v>739</v>
      </c>
      <c r="S348" s="1">
        <v>739</v>
      </c>
      <c r="T348">
        <f>IF(R348=S348,"相符","不相符")</f>
      </c>
      <c r="U348" t="s">
        <v>400</v>
      </c>
      <c r="V348">
        <f>P348*R348</f>
      </c>
      <c r="W348">
        <f>Q348*V348</f>
      </c>
      <c r="X348">
        <v>540</v>
      </c>
      <c r="Y348" t="s">
        <v>65</v>
      </c>
      <c r="Z348" t="s">
        <v>42</v>
      </c>
      <c r="AA348"/>
      <c r="AB348"/>
      <c r="AC348" t="s">
        <v>43</v>
      </c>
      <c r="AD348"/>
    </row>
    <row r="349">
      <c r="A349" t="s">
        <v>30</v>
      </c>
      <c r="B349" t="s">
        <v>31</v>
      </c>
      <c r="C349" t="s">
        <v>939</v>
      </c>
      <c r="D349" t="s">
        <v>191</v>
      </c>
      <c r="E349" t="s">
        <v>192</v>
      </c>
      <c r="F349" s="2">
        <v>46281</v>
      </c>
      <c r="G349">
        <v>1</v>
      </c>
      <c r="H349" t="s">
        <v>940</v>
      </c>
      <c r="I349" t="s">
        <v>941</v>
      </c>
      <c r="J349" t="s">
        <v>942</v>
      </c>
      <c r="K349" t="s">
        <v>75</v>
      </c>
      <c r="L349" t="s">
        <v>943</v>
      </c>
      <c r="M349">
        <v>1110</v>
      </c>
      <c r="N349">
        <v>1110</v>
      </c>
      <c r="O349" t="s">
        <v>40</v>
      </c>
      <c r="P349">
        <v>30</v>
      </c>
      <c r="Q349">
        <f>N349/P349</f>
      </c>
      <c r="R349" s="1">
        <v>107</v>
      </c>
      <c r="S349" s="1">
        <v>107</v>
      </c>
      <c r="T349">
        <f>IF(R349=S349,"相符","不相符")</f>
      </c>
      <c r="U349" t="s">
        <v>944</v>
      </c>
      <c r="V349">
        <f>P349*R349</f>
      </c>
      <c r="W349">
        <f>Q349*V349</f>
      </c>
      <c r="X349">
        <v>365</v>
      </c>
      <c r="Y349" t="s">
        <v>78</v>
      </c>
      <c r="Z349" t="s">
        <v>213</v>
      </c>
      <c r="AA349"/>
      <c r="AB349"/>
      <c r="AC349" t="s">
        <v>43</v>
      </c>
      <c r="AD349"/>
    </row>
    <row r="350">
      <c r="A350" t="s">
        <v>30</v>
      </c>
      <c r="B350" t="s">
        <v>189</v>
      </c>
      <c r="C350" t="s">
        <v>945</v>
      </c>
      <c r="D350" t="s">
        <v>205</v>
      </c>
      <c r="E350" t="s">
        <v>206</v>
      </c>
      <c r="F350" s="2">
        <v>46286</v>
      </c>
      <c r="G350">
        <v>1</v>
      </c>
      <c r="H350" t="s">
        <v>946</v>
      </c>
      <c r="I350" t="s">
        <v>947</v>
      </c>
      <c r="J350" t="s">
        <v>644</v>
      </c>
      <c r="K350" t="s">
        <v>419</v>
      </c>
      <c r="L350" t="s">
        <v>948</v>
      </c>
      <c r="M350">
        <v>10</v>
      </c>
      <c r="N350">
        <v>10</v>
      </c>
      <c r="O350" t="s">
        <v>84</v>
      </c>
      <c r="P350">
        <v>1</v>
      </c>
      <c r="Q350">
        <f>N350/P350</f>
      </c>
      <c r="R350" s="1">
        <v>1231</v>
      </c>
      <c r="S350" s="1">
        <v>1231</v>
      </c>
      <c r="T350">
        <f>IF(R350=S350,"相符","不相符")</f>
      </c>
      <c r="U350"/>
      <c r="V350">
        <f>P350*R350</f>
      </c>
      <c r="W350">
        <f>Q350*V350</f>
      </c>
      <c r="X350">
        <v>1095</v>
      </c>
      <c r="Y350" t="s">
        <v>616</v>
      </c>
      <c r="Z350" t="s">
        <v>631</v>
      </c>
      <c r="AA350"/>
      <c r="AB350"/>
      <c r="AC350" t="s">
        <v>49</v>
      </c>
      <c r="AD350"/>
    </row>
    <row r="351">
      <c r="A351" t="s">
        <v>30</v>
      </c>
      <c r="B351" t="s">
        <v>189</v>
      </c>
      <c r="C351" t="s">
        <v>949</v>
      </c>
      <c r="D351" t="s">
        <v>33</v>
      </c>
      <c r="E351" t="s">
        <v>34</v>
      </c>
      <c r="F351" s="2">
        <v>46286</v>
      </c>
      <c r="G351">
        <v>1</v>
      </c>
      <c r="H351" t="s">
        <v>950</v>
      </c>
      <c r="I351" t="s">
        <v>951</v>
      </c>
      <c r="J351" t="s">
        <v>951</v>
      </c>
      <c r="K351" t="s">
        <v>639</v>
      </c>
      <c r="L351" t="s">
        <v>952</v>
      </c>
      <c r="M351">
        <v>6864</v>
      </c>
      <c r="N351">
        <v>6864</v>
      </c>
      <c r="O351" t="s">
        <v>197</v>
      </c>
      <c r="P351">
        <v>4</v>
      </c>
      <c r="Q351">
        <f>N351/P351</f>
      </c>
      <c r="R351" s="1">
        <v>408</v>
      </c>
      <c r="S351" s="1">
        <v>408</v>
      </c>
      <c r="T351">
        <f>IF(R351=S351,"相符","不相符")</f>
      </c>
      <c r="U351"/>
      <c r="V351">
        <f>P351*R351</f>
      </c>
      <c r="W351">
        <f>Q351*V351</f>
      </c>
      <c r="X351">
        <v>540</v>
      </c>
      <c r="Y351" t="s">
        <v>616</v>
      </c>
      <c r="Z351" t="s">
        <v>631</v>
      </c>
      <c r="AA351"/>
      <c r="AB351"/>
      <c r="AC351" t="s">
        <v>49</v>
      </c>
      <c r="AD351"/>
    </row>
    <row r="352">
      <c r="A352" t="s">
        <v>30</v>
      </c>
      <c r="B352" t="s">
        <v>189</v>
      </c>
      <c r="C352" t="s">
        <v>949</v>
      </c>
      <c r="D352" t="s">
        <v>33</v>
      </c>
      <c r="E352" t="s">
        <v>34</v>
      </c>
      <c r="F352" s="2">
        <v>46286</v>
      </c>
      <c r="G352">
        <v>2</v>
      </c>
      <c r="H352" t="s">
        <v>665</v>
      </c>
      <c r="I352" t="s">
        <v>666</v>
      </c>
      <c r="J352" t="s">
        <v>666</v>
      </c>
      <c r="K352" t="s">
        <v>419</v>
      </c>
      <c r="L352" t="s">
        <v>667</v>
      </c>
      <c r="M352">
        <v>500</v>
      </c>
      <c r="N352">
        <v>500</v>
      </c>
      <c r="O352" t="s">
        <v>177</v>
      </c>
      <c r="P352">
        <v>4</v>
      </c>
      <c r="Q352">
        <f>N352/P352</f>
      </c>
      <c r="R352" s="1">
        <v>323</v>
      </c>
      <c r="S352" s="1">
        <v>323</v>
      </c>
      <c r="T352">
        <f>IF(R352=S352,"相符","不相符")</f>
      </c>
      <c r="U352"/>
      <c r="V352">
        <f>P352*R352</f>
      </c>
      <c r="W352">
        <f>Q352*V352</f>
      </c>
      <c r="X352">
        <v>1095</v>
      </c>
      <c r="Y352" t="s">
        <v>616</v>
      </c>
      <c r="Z352" t="s">
        <v>631</v>
      </c>
      <c r="AA352"/>
      <c r="AB352"/>
      <c r="AC352" t="s">
        <v>49</v>
      </c>
      <c r="AD352"/>
    </row>
    <row r="353">
      <c r="A353" t="s">
        <v>30</v>
      </c>
      <c r="B353" t="s">
        <v>189</v>
      </c>
      <c r="C353" t="s">
        <v>949</v>
      </c>
      <c r="D353" t="s">
        <v>33</v>
      </c>
      <c r="E353" t="s">
        <v>34</v>
      </c>
      <c r="F353" s="2">
        <v>46286</v>
      </c>
      <c r="G353">
        <v>3</v>
      </c>
      <c r="H353" t="s">
        <v>668</v>
      </c>
      <c r="I353" t="s">
        <v>619</v>
      </c>
      <c r="J353" t="s">
        <v>619</v>
      </c>
      <c r="K353" t="s">
        <v>419</v>
      </c>
      <c r="L353" t="s">
        <v>669</v>
      </c>
      <c r="M353">
        <v>200</v>
      </c>
      <c r="N353">
        <v>200</v>
      </c>
      <c r="O353" t="s">
        <v>177</v>
      </c>
      <c r="P353">
        <v>4</v>
      </c>
      <c r="Q353">
        <f>N353/P353</f>
      </c>
      <c r="R353" s="1">
        <v>339</v>
      </c>
      <c r="S353" s="1">
        <v>339</v>
      </c>
      <c r="T353">
        <f>IF(R353=S353,"相符","不相符")</f>
      </c>
      <c r="U353"/>
      <c r="V353">
        <f>P353*R353</f>
      </c>
      <c r="W353">
        <f>Q353*V353</f>
      </c>
      <c r="X353">
        <v>1095</v>
      </c>
      <c r="Y353" t="s">
        <v>616</v>
      </c>
      <c r="Z353" t="s">
        <v>631</v>
      </c>
      <c r="AA353"/>
      <c r="AB353"/>
      <c r="AC353" t="s">
        <v>49</v>
      </c>
      <c r="AD353"/>
    </row>
    <row r="354">
      <c r="A354" t="s">
        <v>30</v>
      </c>
      <c r="B354" t="s">
        <v>189</v>
      </c>
      <c r="C354" t="s">
        <v>949</v>
      </c>
      <c r="D354" t="s">
        <v>33</v>
      </c>
      <c r="E354" t="s">
        <v>34</v>
      </c>
      <c r="F354" s="2">
        <v>46286</v>
      </c>
      <c r="G354">
        <v>4</v>
      </c>
      <c r="H354" t="s">
        <v>417</v>
      </c>
      <c r="I354" t="s">
        <v>418</v>
      </c>
      <c r="J354" t="s">
        <v>418</v>
      </c>
      <c r="K354" t="s">
        <v>419</v>
      </c>
      <c r="L354" t="s">
        <v>420</v>
      </c>
      <c r="M354">
        <v>200</v>
      </c>
      <c r="N354">
        <v>200</v>
      </c>
      <c r="O354" t="s">
        <v>177</v>
      </c>
      <c r="P354">
        <v>4</v>
      </c>
      <c r="Q354">
        <f>N354/P354</f>
      </c>
      <c r="R354" s="1">
        <v>323</v>
      </c>
      <c r="S354" s="1">
        <v>323</v>
      </c>
      <c r="T354">
        <f>IF(R354=S354,"相符","不相符")</f>
      </c>
      <c r="U354"/>
      <c r="V354">
        <f>P354*R354</f>
      </c>
      <c r="W354">
        <f>Q354*V354</f>
      </c>
      <c r="X354">
        <v>1095</v>
      </c>
      <c r="Y354" t="s">
        <v>616</v>
      </c>
      <c r="Z354" t="s">
        <v>631</v>
      </c>
      <c r="AA354"/>
      <c r="AB354"/>
      <c r="AC354" t="s">
        <v>49</v>
      </c>
      <c r="AD354"/>
    </row>
    <row r="355">
      <c r="A355" t="s">
        <v>30</v>
      </c>
      <c r="B355" t="s">
        <v>189</v>
      </c>
      <c r="C355" t="s">
        <v>949</v>
      </c>
      <c r="D355" t="s">
        <v>33</v>
      </c>
      <c r="E355" t="s">
        <v>34</v>
      </c>
      <c r="F355" s="2">
        <v>46286</v>
      </c>
      <c r="G355">
        <v>5</v>
      </c>
      <c r="H355" t="s">
        <v>688</v>
      </c>
      <c r="I355" t="s">
        <v>689</v>
      </c>
      <c r="J355" t="s">
        <v>689</v>
      </c>
      <c r="K355" t="s">
        <v>639</v>
      </c>
      <c r="L355" t="s">
        <v>690</v>
      </c>
      <c r="M355">
        <v>227</v>
      </c>
      <c r="N355">
        <v>227</v>
      </c>
      <c r="O355" t="s">
        <v>197</v>
      </c>
      <c r="P355">
        <v>4</v>
      </c>
      <c r="Q355">
        <f>N355/P355</f>
      </c>
      <c r="R355" s="1">
        <v>0</v>
      </c>
      <c r="S355" s="1">
        <v>447</v>
      </c>
      <c r="T355">
        <f>IF(R355=S355,"相符","不相符")</f>
      </c>
      <c r="U355"/>
      <c r="V355">
        <f>P355*R355</f>
      </c>
      <c r="W355">
        <f>Q355*V355</f>
      </c>
      <c r="X355">
        <v>540</v>
      </c>
      <c r="Y355" t="s">
        <v>673</v>
      </c>
      <c r="Z355" t="s">
        <v>631</v>
      </c>
      <c r="AA355"/>
      <c r="AB355"/>
      <c r="AC355" t="s">
        <v>49</v>
      </c>
      <c r="AD355"/>
    </row>
    <row r="356">
      <c r="A356" t="s">
        <v>30</v>
      </c>
      <c r="B356" t="s">
        <v>189</v>
      </c>
      <c r="C356" t="s">
        <v>949</v>
      </c>
      <c r="D356" t="s">
        <v>33</v>
      </c>
      <c r="E356" t="s">
        <v>34</v>
      </c>
      <c r="F356" s="2">
        <v>46286</v>
      </c>
      <c r="G356">
        <v>6</v>
      </c>
      <c r="H356" t="s">
        <v>711</v>
      </c>
      <c r="I356" t="s">
        <v>712</v>
      </c>
      <c r="J356" t="s">
        <v>712</v>
      </c>
      <c r="K356" t="s">
        <v>457</v>
      </c>
      <c r="L356" t="s">
        <v>713</v>
      </c>
      <c r="M356">
        <v>937</v>
      </c>
      <c r="N356">
        <v>937</v>
      </c>
      <c r="O356" t="s">
        <v>177</v>
      </c>
      <c r="P356">
        <v>8</v>
      </c>
      <c r="Q356">
        <f>N356/P356</f>
      </c>
      <c r="R356" s="1">
        <v>272</v>
      </c>
      <c r="S356" s="1">
        <v>272</v>
      </c>
      <c r="T356">
        <f>IF(R356=S356,"相符","不相符")</f>
      </c>
      <c r="U356"/>
      <c r="V356">
        <f>P356*R356</f>
      </c>
      <c r="W356">
        <f>Q356*V356</f>
      </c>
      <c r="X356">
        <v>730</v>
      </c>
      <c r="Y356" t="s">
        <v>641</v>
      </c>
      <c r="Z356" t="s">
        <v>631</v>
      </c>
      <c r="AA356"/>
      <c r="AB356"/>
      <c r="AC356" t="s">
        <v>49</v>
      </c>
      <c r="AD356"/>
    </row>
    <row r="357">
      <c r="A357" t="s">
        <v>30</v>
      </c>
      <c r="B357" t="s">
        <v>189</v>
      </c>
      <c r="C357" t="s">
        <v>949</v>
      </c>
      <c r="D357" t="s">
        <v>33</v>
      </c>
      <c r="E357" t="s">
        <v>34</v>
      </c>
      <c r="F357" s="2">
        <v>46286</v>
      </c>
      <c r="G357">
        <v>7</v>
      </c>
      <c r="H357" t="s">
        <v>751</v>
      </c>
      <c r="I357" t="s">
        <v>752</v>
      </c>
      <c r="J357" t="s">
        <v>752</v>
      </c>
      <c r="K357" t="s">
        <v>457</v>
      </c>
      <c r="L357" t="s">
        <v>753</v>
      </c>
      <c r="M357">
        <v>907</v>
      </c>
      <c r="N357">
        <v>907</v>
      </c>
      <c r="O357" t="s">
        <v>177</v>
      </c>
      <c r="P357">
        <v>8</v>
      </c>
      <c r="Q357">
        <f>N357/P357</f>
      </c>
      <c r="R357" s="1">
        <v>272</v>
      </c>
      <c r="S357" s="1">
        <v>272</v>
      </c>
      <c r="T357">
        <f>IF(R357=S357,"相符","不相符")</f>
      </c>
      <c r="U357"/>
      <c r="V357">
        <f>P357*R357</f>
      </c>
      <c r="W357">
        <f>Q357*V357</f>
      </c>
      <c r="X357">
        <v>730</v>
      </c>
      <c r="Y357" t="s">
        <v>641</v>
      </c>
      <c r="Z357" t="s">
        <v>631</v>
      </c>
      <c r="AA357"/>
      <c r="AB357"/>
      <c r="AC357" t="s">
        <v>49</v>
      </c>
      <c r="AD357"/>
    </row>
    <row r="358">
      <c r="A358" t="s">
        <v>30</v>
      </c>
      <c r="B358" t="s">
        <v>189</v>
      </c>
      <c r="C358" t="s">
        <v>949</v>
      </c>
      <c r="D358" t="s">
        <v>33</v>
      </c>
      <c r="E358" t="s">
        <v>34</v>
      </c>
      <c r="F358" s="2">
        <v>46286</v>
      </c>
      <c r="G358">
        <v>8</v>
      </c>
      <c r="H358" t="s">
        <v>794</v>
      </c>
      <c r="I358" t="s">
        <v>795</v>
      </c>
      <c r="J358" t="s">
        <v>795</v>
      </c>
      <c r="K358" t="s">
        <v>457</v>
      </c>
      <c r="L358" t="s">
        <v>796</v>
      </c>
      <c r="M358">
        <v>800</v>
      </c>
      <c r="N358">
        <v>800</v>
      </c>
      <c r="O358" t="s">
        <v>177</v>
      </c>
      <c r="P358">
        <v>8</v>
      </c>
      <c r="Q358">
        <f>N358/P358</f>
      </c>
      <c r="R358" s="1">
        <v>272</v>
      </c>
      <c r="S358" s="1">
        <v>272</v>
      </c>
      <c r="T358">
        <f>IF(R358=S358,"相符","不相符")</f>
      </c>
      <c r="U358"/>
      <c r="V358">
        <f>P358*R358</f>
      </c>
      <c r="W358">
        <f>Q358*V358</f>
      </c>
      <c r="X358">
        <v>730</v>
      </c>
      <c r="Y358" t="s">
        <v>641</v>
      </c>
      <c r="Z358" t="s">
        <v>631</v>
      </c>
      <c r="AA358"/>
      <c r="AB358"/>
      <c r="AC358" t="s">
        <v>49</v>
      </c>
      <c r="AD358"/>
    </row>
    <row r="359">
      <c r="A359" t="s">
        <v>30</v>
      </c>
      <c r="B359" t="s">
        <v>189</v>
      </c>
      <c r="C359" t="s">
        <v>949</v>
      </c>
      <c r="D359" t="s">
        <v>33</v>
      </c>
      <c r="E359" t="s">
        <v>34</v>
      </c>
      <c r="F359" s="2">
        <v>46286</v>
      </c>
      <c r="G359">
        <v>9</v>
      </c>
      <c r="H359" t="s">
        <v>754</v>
      </c>
      <c r="I359" t="s">
        <v>755</v>
      </c>
      <c r="J359" t="s">
        <v>755</v>
      </c>
      <c r="K359" t="s">
        <v>450</v>
      </c>
      <c r="L359" t="s">
        <v>756</v>
      </c>
      <c r="M359">
        <v>800</v>
      </c>
      <c r="N359">
        <v>800</v>
      </c>
      <c r="O359" t="s">
        <v>197</v>
      </c>
      <c r="P359">
        <v>10</v>
      </c>
      <c r="Q359">
        <f>N359/P359</f>
      </c>
      <c r="R359" s="1">
        <v>200</v>
      </c>
      <c r="S359" s="1">
        <v>200</v>
      </c>
      <c r="T359">
        <f>IF(R359=S359,"相符","不相符")</f>
      </c>
      <c r="U359"/>
      <c r="V359">
        <f>P359*R359</f>
      </c>
      <c r="W359">
        <f>Q359*V359</f>
      </c>
      <c r="X359">
        <v>540</v>
      </c>
      <c r="Y359" t="s">
        <v>652</v>
      </c>
      <c r="Z359" t="s">
        <v>631</v>
      </c>
      <c r="AA359"/>
      <c r="AB359"/>
      <c r="AC359" t="s">
        <v>49</v>
      </c>
      <c r="AD359"/>
    </row>
    <row r="360">
      <c r="A360" t="s">
        <v>30</v>
      </c>
      <c r="B360" t="s">
        <v>189</v>
      </c>
      <c r="C360" t="s">
        <v>949</v>
      </c>
      <c r="D360" t="s">
        <v>33</v>
      </c>
      <c r="E360" t="s">
        <v>34</v>
      </c>
      <c r="F360" s="2">
        <v>46286</v>
      </c>
      <c r="G360">
        <v>10</v>
      </c>
      <c r="H360" t="s">
        <v>448</v>
      </c>
      <c r="I360" t="s">
        <v>449</v>
      </c>
      <c r="J360" t="s">
        <v>449</v>
      </c>
      <c r="K360" t="s">
        <v>450</v>
      </c>
      <c r="L360" t="s">
        <v>451</v>
      </c>
      <c r="M360">
        <v>800</v>
      </c>
      <c r="N360">
        <v>800</v>
      </c>
      <c r="O360" t="s">
        <v>197</v>
      </c>
      <c r="P360">
        <v>10</v>
      </c>
      <c r="Q360">
        <f>N360/P360</f>
      </c>
      <c r="R360" s="1">
        <v>200</v>
      </c>
      <c r="S360" s="1">
        <v>200</v>
      </c>
      <c r="T360">
        <f>IF(R360=S360,"相符","不相符")</f>
      </c>
      <c r="U360"/>
      <c r="V360">
        <f>P360*R360</f>
      </c>
      <c r="W360">
        <f>Q360*V360</f>
      </c>
      <c r="X360">
        <v>540</v>
      </c>
      <c r="Y360" t="s">
        <v>673</v>
      </c>
      <c r="Z360" t="s">
        <v>631</v>
      </c>
      <c r="AA360"/>
      <c r="AB360"/>
      <c r="AC360" t="s">
        <v>49</v>
      </c>
      <c r="AD360"/>
    </row>
    <row r="361">
      <c r="A361" t="s">
        <v>953</v>
      </c>
      <c r="B361" t="s">
        <v>31</v>
      </c>
      <c r="C361" t="s">
        <v>954</v>
      </c>
      <c r="D361" t="s">
        <v>205</v>
      </c>
      <c r="E361" t="s">
        <v>206</v>
      </c>
      <c r="F361" s="2">
        <v>46274</v>
      </c>
      <c r="G361">
        <v>1</v>
      </c>
      <c r="H361" t="s">
        <v>228</v>
      </c>
      <c r="I361" t="s">
        <v>229</v>
      </c>
      <c r="J361" t="s">
        <v>230</v>
      </c>
      <c r="K361" t="s">
        <v>210</v>
      </c>
      <c r="L361" t="s">
        <v>231</v>
      </c>
      <c r="M361">
        <v>28</v>
      </c>
      <c r="N361">
        <v>28</v>
      </c>
      <c r="O361" t="s">
        <v>84</v>
      </c>
      <c r="P361">
        <v>1</v>
      </c>
      <c r="Q361">
        <f>N361/P361</f>
      </c>
      <c r="R361" s="1">
        <v>960</v>
      </c>
      <c r="S361" s="1">
        <v>960</v>
      </c>
      <c r="T361">
        <f>IF(R361=S361,"相符","不相符")</f>
      </c>
      <c r="U361" t="s">
        <v>232</v>
      </c>
      <c r="V361">
        <f>P361*R361</f>
      </c>
      <c r="W361">
        <f>Q361*V361</f>
      </c>
      <c r="X361">
        <v>730</v>
      </c>
      <c r="Y361" t="s">
        <v>955</v>
      </c>
      <c r="Z361" t="s">
        <v>956</v>
      </c>
      <c r="AA361"/>
      <c r="AB361"/>
      <c r="AC361" t="s">
        <v>43</v>
      </c>
      <c r="AD361"/>
    </row>
    <row r="362">
      <c r="A362" t="s">
        <v>30</v>
      </c>
      <c r="B362" t="s">
        <v>31</v>
      </c>
      <c r="C362" t="s">
        <v>957</v>
      </c>
      <c r="D362" t="s">
        <v>191</v>
      </c>
      <c r="E362" t="s">
        <v>192</v>
      </c>
      <c r="F362" s="2">
        <v>46274</v>
      </c>
      <c r="G362">
        <v>1</v>
      </c>
      <c r="H362" t="s">
        <v>958</v>
      </c>
      <c r="I362" t="s">
        <v>959</v>
      </c>
      <c r="J362" t="s">
        <v>960</v>
      </c>
      <c r="K362" t="s">
        <v>38</v>
      </c>
      <c r="L362" t="s">
        <v>961</v>
      </c>
      <c r="M362">
        <v>36</v>
      </c>
      <c r="N362">
        <v>36</v>
      </c>
      <c r="O362" t="s">
        <v>40</v>
      </c>
      <c r="P362">
        <v>4</v>
      </c>
      <c r="Q362">
        <f>N362/P362</f>
      </c>
      <c r="R362" s="1">
        <v>694</v>
      </c>
      <c r="S362" s="1">
        <v>694</v>
      </c>
      <c r="T362">
        <f>IF(R362=S362,"相符","不相符")</f>
      </c>
      <c r="U362" t="s">
        <v>960</v>
      </c>
      <c r="V362">
        <f>P362*R362</f>
      </c>
      <c r="W362">
        <f>Q362*V362</f>
      </c>
      <c r="X362">
        <v>730</v>
      </c>
      <c r="Y362" t="s">
        <v>955</v>
      </c>
      <c r="Z362" t="s">
        <v>962</v>
      </c>
      <c r="AA362"/>
      <c r="AB362"/>
      <c r="AC362" t="s">
        <v>49</v>
      </c>
      <c r="AD362"/>
    </row>
    <row r="363">
      <c r="A363" t="s">
        <v>30</v>
      </c>
      <c r="B363" t="s">
        <v>31</v>
      </c>
      <c r="C363" t="s">
        <v>957</v>
      </c>
      <c r="D363" t="s">
        <v>191</v>
      </c>
      <c r="E363" t="s">
        <v>192</v>
      </c>
      <c r="F363" s="2">
        <v>46274</v>
      </c>
      <c r="G363">
        <v>2</v>
      </c>
      <c r="H363" t="s">
        <v>963</v>
      </c>
      <c r="I363" t="s">
        <v>964</v>
      </c>
      <c r="J363" t="s">
        <v>965</v>
      </c>
      <c r="K363" t="s">
        <v>38</v>
      </c>
      <c r="L363" t="s">
        <v>966</v>
      </c>
      <c r="M363">
        <v>76</v>
      </c>
      <c r="N363">
        <v>76</v>
      </c>
      <c r="O363" t="s">
        <v>40</v>
      </c>
      <c r="P363">
        <v>4</v>
      </c>
      <c r="Q363">
        <f>N363/P363</f>
      </c>
      <c r="R363" s="1">
        <v>694</v>
      </c>
      <c r="S363" s="1">
        <v>694</v>
      </c>
      <c r="T363">
        <f>IF(R363=S363,"相符","不相符")</f>
      </c>
      <c r="U363" t="s">
        <v>965</v>
      </c>
      <c r="V363">
        <f>P363*R363</f>
      </c>
      <c r="W363">
        <f>Q363*V363</f>
      </c>
      <c r="X363">
        <v>730</v>
      </c>
      <c r="Y363" t="s">
        <v>955</v>
      </c>
      <c r="Z363" t="s">
        <v>962</v>
      </c>
      <c r="AA363"/>
      <c r="AB363"/>
      <c r="AC363" t="s">
        <v>49</v>
      </c>
      <c r="AD363"/>
    </row>
    <row r="364">
      <c r="A364" t="s">
        <v>30</v>
      </c>
      <c r="B364" t="s">
        <v>31</v>
      </c>
      <c r="C364" t="s">
        <v>957</v>
      </c>
      <c r="D364" t="s">
        <v>191</v>
      </c>
      <c r="E364" t="s">
        <v>192</v>
      </c>
      <c r="F364" s="2">
        <v>46274</v>
      </c>
      <c r="G364">
        <v>3</v>
      </c>
      <c r="H364" t="s">
        <v>967</v>
      </c>
      <c r="I364" t="s">
        <v>968</v>
      </c>
      <c r="J364" t="s">
        <v>969</v>
      </c>
      <c r="K364" t="s">
        <v>377</v>
      </c>
      <c r="L364" t="s">
        <v>970</v>
      </c>
      <c r="M364">
        <v>40</v>
      </c>
      <c r="N364">
        <v>24</v>
      </c>
      <c r="O364" t="s">
        <v>40</v>
      </c>
      <c r="P364">
        <v>24</v>
      </c>
      <c r="Q364">
        <f>N364/P364</f>
      </c>
      <c r="R364" s="1">
        <v>350</v>
      </c>
      <c r="S364" s="1">
        <v>350</v>
      </c>
      <c r="T364">
        <f>IF(R364=S364,"相符","不相符")</f>
      </c>
      <c r="U364" t="s">
        <v>969</v>
      </c>
      <c r="V364">
        <f>P364*R364</f>
      </c>
      <c r="W364">
        <f>Q364*V364</f>
      </c>
      <c r="X364">
        <v>540</v>
      </c>
      <c r="Y364" t="s">
        <v>971</v>
      </c>
      <c r="Z364" t="s">
        <v>962</v>
      </c>
      <c r="AA364"/>
      <c r="AB364"/>
      <c r="AC364" t="s">
        <v>43</v>
      </c>
      <c r="AD364"/>
    </row>
    <row r="365">
      <c r="A365" t="s">
        <v>30</v>
      </c>
      <c r="B365" t="s">
        <v>31</v>
      </c>
      <c r="C365" t="s">
        <v>957</v>
      </c>
      <c r="D365" t="s">
        <v>191</v>
      </c>
      <c r="E365" t="s">
        <v>192</v>
      </c>
      <c r="F365" s="2">
        <v>46274</v>
      </c>
      <c r="G365">
        <v>4</v>
      </c>
      <c r="H365" t="s">
        <v>972</v>
      </c>
      <c r="I365" t="s">
        <v>973</v>
      </c>
      <c r="J365" t="s">
        <v>974</v>
      </c>
      <c r="K365" t="s">
        <v>69</v>
      </c>
      <c r="L365" t="s">
        <v>975</v>
      </c>
      <c r="M365">
        <v>109</v>
      </c>
      <c r="N365">
        <v>108</v>
      </c>
      <c r="O365" t="s">
        <v>40</v>
      </c>
      <c r="P365">
        <v>4</v>
      </c>
      <c r="Q365">
        <f>N365/P365</f>
      </c>
      <c r="R365" s="1">
        <v>731</v>
      </c>
      <c r="S365" s="1">
        <v>731</v>
      </c>
      <c r="T365">
        <f>IF(R365=S365,"相符","不相符")</f>
      </c>
      <c r="U365" t="s">
        <v>976</v>
      </c>
      <c r="V365">
        <f>P365*R365</f>
      </c>
      <c r="W365">
        <f>Q365*V365</f>
      </c>
      <c r="X365">
        <v>540</v>
      </c>
      <c r="Y365" t="s">
        <v>971</v>
      </c>
      <c r="Z365" t="s">
        <v>962</v>
      </c>
      <c r="AA365"/>
      <c r="AB365"/>
      <c r="AC365" t="s">
        <v>43</v>
      </c>
      <c r="AD365"/>
    </row>
    <row r="366">
      <c r="A366" t="s">
        <v>30</v>
      </c>
      <c r="B366" t="s">
        <v>31</v>
      </c>
      <c r="C366" t="s">
        <v>957</v>
      </c>
      <c r="D366" t="s">
        <v>191</v>
      </c>
      <c r="E366" t="s">
        <v>192</v>
      </c>
      <c r="F366" s="2">
        <v>46274</v>
      </c>
      <c r="G366">
        <v>5</v>
      </c>
      <c r="H366" t="s">
        <v>163</v>
      </c>
      <c r="I366" t="s">
        <v>164</v>
      </c>
      <c r="J366" t="s">
        <v>165</v>
      </c>
      <c r="K366" t="s">
        <v>69</v>
      </c>
      <c r="L366" t="s">
        <v>166</v>
      </c>
      <c r="M366">
        <v>27</v>
      </c>
      <c r="N366">
        <v>20</v>
      </c>
      <c r="O366" t="s">
        <v>40</v>
      </c>
      <c r="P366">
        <v>4</v>
      </c>
      <c r="Q366">
        <f>N366/P366</f>
      </c>
      <c r="R366" s="1">
        <v>731</v>
      </c>
      <c r="S366" s="1">
        <v>731</v>
      </c>
      <c r="T366">
        <f>IF(R366=S366,"相符","不相符")</f>
      </c>
      <c r="U366" t="s">
        <v>167</v>
      </c>
      <c r="V366">
        <f>P366*R366</f>
      </c>
      <c r="W366">
        <f>Q366*V366</f>
      </c>
      <c r="X366">
        <v>540</v>
      </c>
      <c r="Y366" t="s">
        <v>977</v>
      </c>
      <c r="Z366" t="s">
        <v>962</v>
      </c>
      <c r="AA366"/>
      <c r="AB366"/>
      <c r="AC366" t="s">
        <v>43</v>
      </c>
      <c r="AD366"/>
    </row>
    <row r="367">
      <c r="A367" t="s">
        <v>30</v>
      </c>
      <c r="B367" t="s">
        <v>31</v>
      </c>
      <c r="C367" t="s">
        <v>957</v>
      </c>
      <c r="D367" t="s">
        <v>191</v>
      </c>
      <c r="E367" t="s">
        <v>192</v>
      </c>
      <c r="F367" s="2">
        <v>46274</v>
      </c>
      <c r="G367">
        <v>6</v>
      </c>
      <c r="H367" t="s">
        <v>978</v>
      </c>
      <c r="I367" t="s">
        <v>979</v>
      </c>
      <c r="J367" t="s">
        <v>980</v>
      </c>
      <c r="K367" t="s">
        <v>69</v>
      </c>
      <c r="L367" t="s">
        <v>981</v>
      </c>
      <c r="M367">
        <v>43</v>
      </c>
      <c r="N367">
        <v>40</v>
      </c>
      <c r="O367" t="s">
        <v>40</v>
      </c>
      <c r="P367">
        <v>4</v>
      </c>
      <c r="Q367">
        <f>N367/P367</f>
      </c>
      <c r="R367" s="1">
        <v>731</v>
      </c>
      <c r="S367" s="1">
        <v>731</v>
      </c>
      <c r="T367">
        <f>IF(R367=S367,"相符","不相符")</f>
      </c>
      <c r="U367" t="s">
        <v>980</v>
      </c>
      <c r="V367">
        <f>P367*R367</f>
      </c>
      <c r="W367">
        <f>Q367*V367</f>
      </c>
      <c r="X367">
        <v>540</v>
      </c>
      <c r="Y367" t="s">
        <v>982</v>
      </c>
      <c r="Z367" t="s">
        <v>962</v>
      </c>
      <c r="AA367"/>
      <c r="AB367"/>
      <c r="AC367" t="s">
        <v>43</v>
      </c>
      <c r="AD367"/>
    </row>
    <row r="368">
      <c r="A368" t="s">
        <v>30</v>
      </c>
      <c r="B368" t="s">
        <v>31</v>
      </c>
      <c r="C368" t="s">
        <v>957</v>
      </c>
      <c r="D368" t="s">
        <v>191</v>
      </c>
      <c r="E368" t="s">
        <v>192</v>
      </c>
      <c r="F368" s="2">
        <v>46274</v>
      </c>
      <c r="G368">
        <v>7</v>
      </c>
      <c r="H368" t="s">
        <v>983</v>
      </c>
      <c r="I368" t="s">
        <v>984</v>
      </c>
      <c r="J368" t="s">
        <v>985</v>
      </c>
      <c r="K368" t="s">
        <v>38</v>
      </c>
      <c r="L368" t="s">
        <v>986</v>
      </c>
      <c r="M368">
        <v>182</v>
      </c>
      <c r="N368">
        <v>180</v>
      </c>
      <c r="O368" t="s">
        <v>177</v>
      </c>
      <c r="P368">
        <v>12</v>
      </c>
      <c r="Q368">
        <f>N368/P368</f>
      </c>
      <c r="R368" s="1">
        <v>141.33</v>
      </c>
      <c r="S368" s="1">
        <v>141.16</v>
      </c>
      <c r="T368">
        <f>IF(R368=S368,"相符","不相符")</f>
      </c>
      <c r="U368" t="s">
        <v>985</v>
      </c>
      <c r="V368">
        <f>P368*R368</f>
      </c>
      <c r="W368">
        <f>Q368*V368</f>
      </c>
      <c r="X368">
        <v>730</v>
      </c>
      <c r="Y368" t="s">
        <v>987</v>
      </c>
      <c r="Z368" t="s">
        <v>962</v>
      </c>
      <c r="AA368"/>
      <c r="AB368"/>
      <c r="AC368" t="s">
        <v>43</v>
      </c>
      <c r="AD368"/>
    </row>
    <row r="369">
      <c r="A369" t="s">
        <v>30</v>
      </c>
      <c r="B369" t="s">
        <v>189</v>
      </c>
      <c r="C369" t="s">
        <v>988</v>
      </c>
      <c r="D369" t="s">
        <v>478</v>
      </c>
      <c r="E369" t="s">
        <v>479</v>
      </c>
      <c r="F369" s="2">
        <v>46274</v>
      </c>
      <c r="G369">
        <v>1</v>
      </c>
      <c r="H369" t="s">
        <v>748</v>
      </c>
      <c r="I369" t="s">
        <v>749</v>
      </c>
      <c r="J369" t="s">
        <v>749</v>
      </c>
      <c r="K369" t="s">
        <v>457</v>
      </c>
      <c r="L369" t="s">
        <v>750</v>
      </c>
      <c r="M369">
        <v>756</v>
      </c>
      <c r="N369">
        <v>600</v>
      </c>
      <c r="O369" t="s">
        <v>240</v>
      </c>
      <c r="P369">
        <v>6</v>
      </c>
      <c r="Q369">
        <f>N369/P369</f>
      </c>
      <c r="R369" s="1">
        <v>183</v>
      </c>
      <c r="S369" s="1">
        <v>174</v>
      </c>
      <c r="T369">
        <f>IF(R369=S369,"相符","不相符")</f>
      </c>
      <c r="U369"/>
      <c r="V369">
        <f>P369*R369</f>
      </c>
      <c r="W369">
        <f>Q369*V369</f>
      </c>
      <c r="X369">
        <v>730</v>
      </c>
      <c r="Y369" t="s">
        <v>989</v>
      </c>
      <c r="Z369" t="s">
        <v>422</v>
      </c>
      <c r="AA369"/>
      <c r="AB369"/>
      <c r="AC369" t="s">
        <v>49</v>
      </c>
      <c r="AD369"/>
    </row>
    <row r="370">
      <c r="A370" t="s">
        <v>30</v>
      </c>
      <c r="B370" t="s">
        <v>254</v>
      </c>
      <c r="C370" t="s">
        <v>990</v>
      </c>
      <c r="D370" t="s">
        <v>604</v>
      </c>
      <c r="E370" t="s">
        <v>605</v>
      </c>
      <c r="F370" s="2">
        <v>46274</v>
      </c>
      <c r="G370">
        <v>1</v>
      </c>
      <c r="H370" t="s">
        <v>264</v>
      </c>
      <c r="I370" t="s">
        <v>265</v>
      </c>
      <c r="J370" t="s">
        <v>266</v>
      </c>
      <c r="K370" t="s">
        <v>258</v>
      </c>
      <c r="L370" t="s">
        <v>267</v>
      </c>
      <c r="M370">
        <v>2100</v>
      </c>
      <c r="N370">
        <v>2100</v>
      </c>
      <c r="O370" t="s">
        <v>197</v>
      </c>
      <c r="P370">
        <v>7</v>
      </c>
      <c r="Q370">
        <f>N370/P370</f>
      </c>
      <c r="R370" s="1">
        <v>92</v>
      </c>
      <c r="S370" s="1">
        <v>92</v>
      </c>
      <c r="T370">
        <f>IF(R370=S370,"相符","不相符")</f>
      </c>
      <c r="U370" t="s">
        <v>268</v>
      </c>
      <c r="V370">
        <f>P370*R370</f>
      </c>
      <c r="W370">
        <f>Q370*V370</f>
      </c>
      <c r="X370">
        <v>1825</v>
      </c>
      <c r="Y370" t="s">
        <v>991</v>
      </c>
      <c r="Z370" t="s">
        <v>992</v>
      </c>
      <c r="AA370"/>
      <c r="AB370"/>
      <c r="AC370" t="s">
        <v>243</v>
      </c>
      <c r="AD370"/>
    </row>
    <row r="371">
      <c r="A371" t="s">
        <v>30</v>
      </c>
      <c r="B371" t="s">
        <v>31</v>
      </c>
      <c r="C371" t="s">
        <v>993</v>
      </c>
      <c r="D371" t="s">
        <v>191</v>
      </c>
      <c r="E371" t="s">
        <v>192</v>
      </c>
      <c r="F371" s="2">
        <v>46274</v>
      </c>
      <c r="G371">
        <v>1</v>
      </c>
      <c r="H371" t="s">
        <v>323</v>
      </c>
      <c r="I371" t="s">
        <v>324</v>
      </c>
      <c r="J371" t="s">
        <v>325</v>
      </c>
      <c r="K371" t="s">
        <v>82</v>
      </c>
      <c r="L371" t="s">
        <v>326</v>
      </c>
      <c r="M371">
        <v>2</v>
      </c>
      <c r="N371">
        <v>2</v>
      </c>
      <c r="O371" t="s">
        <v>84</v>
      </c>
      <c r="P371">
        <v>1</v>
      </c>
      <c r="Q371">
        <f>N371/P371</f>
      </c>
      <c r="R371" s="1">
        <v>635</v>
      </c>
      <c r="S371" s="1">
        <v>635</v>
      </c>
      <c r="T371">
        <f>IF(R371=S371,"相符","不相符")</f>
      </c>
      <c r="U371" t="s">
        <v>327</v>
      </c>
      <c r="V371">
        <f>P371*R371</f>
      </c>
      <c r="W371">
        <f>Q371*V371</f>
      </c>
      <c r="X371">
        <v>730</v>
      </c>
      <c r="Y371" t="s">
        <v>955</v>
      </c>
      <c r="Z371" t="s">
        <v>994</v>
      </c>
      <c r="AA371"/>
      <c r="AB371"/>
      <c r="AC371" t="s">
        <v>49</v>
      </c>
      <c r="AD371"/>
    </row>
    <row r="372">
      <c r="A372" t="s">
        <v>30</v>
      </c>
      <c r="B372" t="s">
        <v>31</v>
      </c>
      <c r="C372" t="s">
        <v>993</v>
      </c>
      <c r="D372" t="s">
        <v>191</v>
      </c>
      <c r="E372" t="s">
        <v>192</v>
      </c>
      <c r="F372" s="2">
        <v>46274</v>
      </c>
      <c r="G372">
        <v>2</v>
      </c>
      <c r="H372" t="s">
        <v>79</v>
      </c>
      <c r="I372" t="s">
        <v>80</v>
      </c>
      <c r="J372" t="s">
        <v>81</v>
      </c>
      <c r="K372" t="s">
        <v>82</v>
      </c>
      <c r="L372" t="s">
        <v>83</v>
      </c>
      <c r="M372">
        <v>107</v>
      </c>
      <c r="N372">
        <v>107</v>
      </c>
      <c r="O372" t="s">
        <v>84</v>
      </c>
      <c r="P372">
        <v>1</v>
      </c>
      <c r="Q372">
        <f>N372/P372</f>
      </c>
      <c r="R372" s="1">
        <v>438</v>
      </c>
      <c r="S372" s="1">
        <v>438</v>
      </c>
      <c r="T372">
        <f>IF(R372=S372,"相符","不相符")</f>
      </c>
      <c r="U372" t="s">
        <v>85</v>
      </c>
      <c r="V372">
        <f>P372*R372</f>
      </c>
      <c r="W372">
        <f>Q372*V372</f>
      </c>
      <c r="X372">
        <v>730</v>
      </c>
      <c r="Y372" t="s">
        <v>995</v>
      </c>
      <c r="Z372" t="s">
        <v>994</v>
      </c>
      <c r="AA372"/>
      <c r="AB372"/>
      <c r="AC372" t="s">
        <v>43</v>
      </c>
      <c r="AD372"/>
    </row>
    <row r="373">
      <c r="A373" t="s">
        <v>30</v>
      </c>
      <c r="B373" t="s">
        <v>31</v>
      </c>
      <c r="C373" t="s">
        <v>993</v>
      </c>
      <c r="D373" t="s">
        <v>191</v>
      </c>
      <c r="E373" t="s">
        <v>192</v>
      </c>
      <c r="F373" s="2">
        <v>46274</v>
      </c>
      <c r="G373">
        <v>3</v>
      </c>
      <c r="H373" t="s">
        <v>338</v>
      </c>
      <c r="I373" t="s">
        <v>339</v>
      </c>
      <c r="J373" t="s">
        <v>340</v>
      </c>
      <c r="K373" t="s">
        <v>82</v>
      </c>
      <c r="L373" t="s">
        <v>341</v>
      </c>
      <c r="M373">
        <v>90</v>
      </c>
      <c r="N373">
        <v>90</v>
      </c>
      <c r="O373" t="s">
        <v>84</v>
      </c>
      <c r="P373">
        <v>1</v>
      </c>
      <c r="Q373">
        <f>N373/P373</f>
      </c>
      <c r="R373" s="1">
        <v>438</v>
      </c>
      <c r="S373" s="1">
        <v>438</v>
      </c>
      <c r="T373">
        <f>IF(R373=S373,"相符","不相符")</f>
      </c>
      <c r="U373" t="s">
        <v>342</v>
      </c>
      <c r="V373">
        <f>P373*R373</f>
      </c>
      <c r="W373">
        <f>Q373*V373</f>
      </c>
      <c r="X373">
        <v>730</v>
      </c>
      <c r="Y373" t="s">
        <v>996</v>
      </c>
      <c r="Z373" t="s">
        <v>997</v>
      </c>
      <c r="AA373"/>
      <c r="AB373"/>
      <c r="AC373" t="s">
        <v>43</v>
      </c>
      <c r="AD373"/>
    </row>
    <row r="374">
      <c r="A374" t="s">
        <v>30</v>
      </c>
      <c r="B374" t="s">
        <v>31</v>
      </c>
      <c r="C374" t="s">
        <v>993</v>
      </c>
      <c r="D374" t="s">
        <v>191</v>
      </c>
      <c r="E374" t="s">
        <v>192</v>
      </c>
      <c r="F374" s="2">
        <v>46274</v>
      </c>
      <c r="G374">
        <v>4</v>
      </c>
      <c r="H374" t="s">
        <v>92</v>
      </c>
      <c r="I374" t="s">
        <v>93</v>
      </c>
      <c r="J374" t="s">
        <v>94</v>
      </c>
      <c r="K374" t="s">
        <v>82</v>
      </c>
      <c r="L374" t="s">
        <v>95</v>
      </c>
      <c r="M374">
        <v>37</v>
      </c>
      <c r="N374">
        <v>37</v>
      </c>
      <c r="O374" t="s">
        <v>84</v>
      </c>
      <c r="P374">
        <v>1</v>
      </c>
      <c r="Q374">
        <f>N374/P374</f>
      </c>
      <c r="R374" s="1">
        <v>438</v>
      </c>
      <c r="S374" s="1">
        <v>438</v>
      </c>
      <c r="T374">
        <f>IF(R374=S374,"相符","不相符")</f>
      </c>
      <c r="U374" t="s">
        <v>94</v>
      </c>
      <c r="V374">
        <f>P374*R374</f>
      </c>
      <c r="W374">
        <f>Q374*V374</f>
      </c>
      <c r="X374">
        <v>730</v>
      </c>
      <c r="Y374" t="s">
        <v>996</v>
      </c>
      <c r="Z374" t="s">
        <v>994</v>
      </c>
      <c r="AA374"/>
      <c r="AB374"/>
      <c r="AC374" t="s">
        <v>43</v>
      </c>
      <c r="AD374"/>
    </row>
    <row r="375">
      <c r="A375" t="s">
        <v>30</v>
      </c>
      <c r="B375" t="s">
        <v>31</v>
      </c>
      <c r="C375" t="s">
        <v>993</v>
      </c>
      <c r="D375" t="s">
        <v>191</v>
      </c>
      <c r="E375" t="s">
        <v>192</v>
      </c>
      <c r="F375" s="2">
        <v>46274</v>
      </c>
      <c r="G375">
        <v>5</v>
      </c>
      <c r="H375" t="s">
        <v>97</v>
      </c>
      <c r="I375" t="s">
        <v>98</v>
      </c>
      <c r="J375" t="s">
        <v>99</v>
      </c>
      <c r="K375" t="s">
        <v>82</v>
      </c>
      <c r="L375" t="s">
        <v>100</v>
      </c>
      <c r="M375">
        <v>28</v>
      </c>
      <c r="N375">
        <v>28</v>
      </c>
      <c r="O375" t="s">
        <v>84</v>
      </c>
      <c r="P375">
        <v>1</v>
      </c>
      <c r="Q375">
        <f>N375/P375</f>
      </c>
      <c r="R375" s="1">
        <v>635</v>
      </c>
      <c r="S375" s="1">
        <v>635</v>
      </c>
      <c r="T375">
        <f>IF(R375=S375,"相符","不相符")</f>
      </c>
      <c r="U375" t="s">
        <v>101</v>
      </c>
      <c r="V375">
        <f>P375*R375</f>
      </c>
      <c r="W375">
        <f>Q375*V375</f>
      </c>
      <c r="X375">
        <v>730</v>
      </c>
      <c r="Y375" t="s">
        <v>998</v>
      </c>
      <c r="Z375" t="s">
        <v>994</v>
      </c>
      <c r="AA375"/>
      <c r="AB375"/>
      <c r="AC375" t="s">
        <v>49</v>
      </c>
      <c r="AD375"/>
    </row>
    <row r="376">
      <c r="A376" t="s">
        <v>30</v>
      </c>
      <c r="B376" t="s">
        <v>31</v>
      </c>
      <c r="C376" t="s">
        <v>993</v>
      </c>
      <c r="D376" t="s">
        <v>191</v>
      </c>
      <c r="E376" t="s">
        <v>192</v>
      </c>
      <c r="F376" s="2">
        <v>46274</v>
      </c>
      <c r="G376">
        <v>6</v>
      </c>
      <c r="H376" t="s">
        <v>108</v>
      </c>
      <c r="I376" t="s">
        <v>109</v>
      </c>
      <c r="J376" t="s">
        <v>110</v>
      </c>
      <c r="K376" t="s">
        <v>57</v>
      </c>
      <c r="L376" t="s">
        <v>111</v>
      </c>
      <c r="M376">
        <v>40</v>
      </c>
      <c r="N376">
        <v>40</v>
      </c>
      <c r="O376" t="s">
        <v>84</v>
      </c>
      <c r="P376">
        <v>1</v>
      </c>
      <c r="Q376">
        <f>N376/P376</f>
      </c>
      <c r="R376" s="1">
        <v>394</v>
      </c>
      <c r="S376" s="1">
        <v>394</v>
      </c>
      <c r="T376">
        <f>IF(R376=S376,"相符","不相符")</f>
      </c>
      <c r="U376" t="s">
        <v>110</v>
      </c>
      <c r="V376">
        <f>P376*R376</f>
      </c>
      <c r="W376">
        <f>Q376*V376</f>
      </c>
      <c r="X376">
        <v>730</v>
      </c>
      <c r="Y376" t="s">
        <v>955</v>
      </c>
      <c r="Z376" t="s">
        <v>994</v>
      </c>
      <c r="AA376"/>
      <c r="AB376"/>
      <c r="AC376" t="s">
        <v>43</v>
      </c>
      <c r="AD376"/>
    </row>
    <row r="377">
      <c r="A377" t="s">
        <v>30</v>
      </c>
      <c r="B377" t="s">
        <v>31</v>
      </c>
      <c r="C377" t="s">
        <v>993</v>
      </c>
      <c r="D377" t="s">
        <v>191</v>
      </c>
      <c r="E377" t="s">
        <v>192</v>
      </c>
      <c r="F377" s="2">
        <v>46274</v>
      </c>
      <c r="G377">
        <v>7</v>
      </c>
      <c r="H377" t="s">
        <v>360</v>
      </c>
      <c r="I377" t="s">
        <v>361</v>
      </c>
      <c r="J377" t="s">
        <v>362</v>
      </c>
      <c r="K377" t="s">
        <v>82</v>
      </c>
      <c r="L377" t="s">
        <v>363</v>
      </c>
      <c r="M377">
        <v>15</v>
      </c>
      <c r="N377">
        <v>15</v>
      </c>
      <c r="O377" t="s">
        <v>84</v>
      </c>
      <c r="P377">
        <v>1</v>
      </c>
      <c r="Q377">
        <f>N377/P377</f>
      </c>
      <c r="R377" s="1">
        <v>635</v>
      </c>
      <c r="S377" s="1">
        <v>635</v>
      </c>
      <c r="T377">
        <f>IF(R377=S377,"相符","不相符")</f>
      </c>
      <c r="U377" t="s">
        <v>362</v>
      </c>
      <c r="V377">
        <f>P377*R377</f>
      </c>
      <c r="W377">
        <f>Q377*V377</f>
      </c>
      <c r="X377">
        <v>730</v>
      </c>
      <c r="Y377" t="s">
        <v>989</v>
      </c>
      <c r="Z377" t="s">
        <v>994</v>
      </c>
      <c r="AA377"/>
      <c r="AB377"/>
      <c r="AC377" t="s">
        <v>43</v>
      </c>
      <c r="AD377"/>
    </row>
    <row r="378">
      <c r="A378" t="s">
        <v>30</v>
      </c>
      <c r="B378" t="s">
        <v>31</v>
      </c>
      <c r="C378" t="s">
        <v>993</v>
      </c>
      <c r="D378" t="s">
        <v>191</v>
      </c>
      <c r="E378" t="s">
        <v>192</v>
      </c>
      <c r="F378" s="2">
        <v>46274</v>
      </c>
      <c r="G378">
        <v>8</v>
      </c>
      <c r="H378" t="s">
        <v>112</v>
      </c>
      <c r="I378" t="s">
        <v>113</v>
      </c>
      <c r="J378" t="s">
        <v>114</v>
      </c>
      <c r="K378" t="s">
        <v>82</v>
      </c>
      <c r="L378" t="s">
        <v>115</v>
      </c>
      <c r="M378">
        <v>12</v>
      </c>
      <c r="N378">
        <v>12</v>
      </c>
      <c r="O378" t="s">
        <v>84</v>
      </c>
      <c r="P378">
        <v>1</v>
      </c>
      <c r="Q378">
        <f>N378/P378</f>
      </c>
      <c r="R378" s="1">
        <v>635</v>
      </c>
      <c r="S378" s="1">
        <v>635</v>
      </c>
      <c r="T378">
        <f>IF(R378=S378,"相符","不相符")</f>
      </c>
      <c r="U378" t="s">
        <v>114</v>
      </c>
      <c r="V378">
        <f>P378*R378</f>
      </c>
      <c r="W378">
        <f>Q378*V378</f>
      </c>
      <c r="X378">
        <v>730</v>
      </c>
      <c r="Y378" t="s">
        <v>989</v>
      </c>
      <c r="Z378" t="s">
        <v>994</v>
      </c>
      <c r="AA378"/>
      <c r="AB378"/>
      <c r="AC378" t="s">
        <v>43</v>
      </c>
      <c r="AD378"/>
    </row>
    <row r="379">
      <c r="A379" t="s">
        <v>30</v>
      </c>
      <c r="B379" t="s">
        <v>31</v>
      </c>
      <c r="C379" t="s">
        <v>993</v>
      </c>
      <c r="D379" t="s">
        <v>191</v>
      </c>
      <c r="E379" t="s">
        <v>192</v>
      </c>
      <c r="F379" s="2">
        <v>46274</v>
      </c>
      <c r="G379">
        <v>9</v>
      </c>
      <c r="H379" t="s">
        <v>999</v>
      </c>
      <c r="I379" t="s">
        <v>1000</v>
      </c>
      <c r="J379" t="s">
        <v>1001</v>
      </c>
      <c r="K379" t="s">
        <v>75</v>
      </c>
      <c r="L379" t="s">
        <v>1002</v>
      </c>
      <c r="M379">
        <v>1</v>
      </c>
      <c r="N379">
        <v>1</v>
      </c>
      <c r="O379" t="s">
        <v>84</v>
      </c>
      <c r="P379">
        <v>1</v>
      </c>
      <c r="Q379">
        <f>N379/P379</f>
      </c>
      <c r="R379" s="1">
        <v>4770</v>
      </c>
      <c r="S379" s="1">
        <v>4698</v>
      </c>
      <c r="T379">
        <f>IF(R379=S379,"相符","不相符")</f>
      </c>
      <c r="U379" t="s">
        <v>1003</v>
      </c>
      <c r="V379">
        <f>P379*R379</f>
      </c>
      <c r="W379">
        <f>Q379*V379</f>
      </c>
      <c r="X379">
        <v>365</v>
      </c>
      <c r="Y379" t="s">
        <v>1004</v>
      </c>
      <c r="Z379" t="s">
        <v>994</v>
      </c>
      <c r="AA379"/>
      <c r="AB379"/>
      <c r="AC379" t="s">
        <v>43</v>
      </c>
      <c r="AD379"/>
    </row>
    <row r="380">
      <c r="A380" t="s">
        <v>30</v>
      </c>
      <c r="B380" t="s">
        <v>31</v>
      </c>
      <c r="C380" t="s">
        <v>993</v>
      </c>
      <c r="D380" t="s">
        <v>191</v>
      </c>
      <c r="E380" t="s">
        <v>192</v>
      </c>
      <c r="F380" s="2">
        <v>46274</v>
      </c>
      <c r="G380">
        <v>10</v>
      </c>
      <c r="H380" t="s">
        <v>1005</v>
      </c>
      <c r="I380" t="s">
        <v>1006</v>
      </c>
      <c r="J380" t="s">
        <v>1007</v>
      </c>
      <c r="K380" t="s">
        <v>1008</v>
      </c>
      <c r="L380" t="s">
        <v>1009</v>
      </c>
      <c r="M380">
        <v>1</v>
      </c>
      <c r="N380">
        <v>1</v>
      </c>
      <c r="O380" t="s">
        <v>84</v>
      </c>
      <c r="P380">
        <v>1</v>
      </c>
      <c r="Q380">
        <f>N380/P380</f>
      </c>
      <c r="R380" s="1">
        <v>1896</v>
      </c>
      <c r="S380" s="1">
        <v>1656</v>
      </c>
      <c r="T380">
        <f>IF(R380=S380,"相符","不相符")</f>
      </c>
      <c r="U380" t="s">
        <v>1007</v>
      </c>
      <c r="V380">
        <f>P380*R380</f>
      </c>
      <c r="W380">
        <f>Q380*V380</f>
      </c>
      <c r="X380">
        <v>365</v>
      </c>
      <c r="Y380" t="s">
        <v>998</v>
      </c>
      <c r="Z380" t="s">
        <v>994</v>
      </c>
      <c r="AA380"/>
      <c r="AB380"/>
      <c r="AC380" t="s">
        <v>43</v>
      </c>
      <c r="AD380"/>
    </row>
    <row r="381">
      <c r="A381" t="s">
        <v>30</v>
      </c>
      <c r="B381" t="s">
        <v>31</v>
      </c>
      <c r="C381" t="s">
        <v>1010</v>
      </c>
      <c r="D381" t="s">
        <v>478</v>
      </c>
      <c r="E381" t="s">
        <v>479</v>
      </c>
      <c r="F381" s="2">
        <v>46274</v>
      </c>
      <c r="G381">
        <v>1</v>
      </c>
      <c r="H381" t="s">
        <v>510</v>
      </c>
      <c r="I381" t="s">
        <v>511</v>
      </c>
      <c r="J381" t="s">
        <v>512</v>
      </c>
      <c r="K381" t="s">
        <v>82</v>
      </c>
      <c r="L381" t="s">
        <v>513</v>
      </c>
      <c r="M381">
        <v>37</v>
      </c>
      <c r="N381">
        <v>37</v>
      </c>
      <c r="O381" t="s">
        <v>84</v>
      </c>
      <c r="P381">
        <v>1</v>
      </c>
      <c r="Q381">
        <f>N381/P381</f>
      </c>
      <c r="R381" s="1">
        <v>438</v>
      </c>
      <c r="S381" s="1">
        <v>438</v>
      </c>
      <c r="T381">
        <f>IF(R381=S381,"相符","不相符")</f>
      </c>
      <c r="U381" t="s">
        <v>512</v>
      </c>
      <c r="V381">
        <f>P381*R381</f>
      </c>
      <c r="W381">
        <f>Q381*V381</f>
      </c>
      <c r="X381">
        <v>730</v>
      </c>
      <c r="Y381" t="s">
        <v>955</v>
      </c>
      <c r="Z381" t="s">
        <v>1011</v>
      </c>
      <c r="AA381"/>
      <c r="AB381"/>
      <c r="AC381" t="s">
        <v>43</v>
      </c>
      <c r="AD381"/>
    </row>
    <row r="382">
      <c r="A382" t="s">
        <v>30</v>
      </c>
      <c r="B382" t="s">
        <v>31</v>
      </c>
      <c r="C382" t="s">
        <v>1010</v>
      </c>
      <c r="D382" t="s">
        <v>478</v>
      </c>
      <c r="E382" t="s">
        <v>479</v>
      </c>
      <c r="F382" s="2">
        <v>46274</v>
      </c>
      <c r="G382">
        <v>2</v>
      </c>
      <c r="H382" t="s">
        <v>1012</v>
      </c>
      <c r="I382" t="s">
        <v>1013</v>
      </c>
      <c r="J382" t="s">
        <v>1014</v>
      </c>
      <c r="K382" t="s">
        <v>82</v>
      </c>
      <c r="L382" t="s">
        <v>1015</v>
      </c>
      <c r="M382">
        <v>2</v>
      </c>
      <c r="N382">
        <v>2</v>
      </c>
      <c r="O382" t="s">
        <v>84</v>
      </c>
      <c r="P382">
        <v>1</v>
      </c>
      <c r="Q382">
        <f>N382/P382</f>
      </c>
      <c r="R382" s="1">
        <v>635</v>
      </c>
      <c r="S382" s="1">
        <v>635</v>
      </c>
      <c r="T382">
        <f>IF(R382=S382,"相符","不相符")</f>
      </c>
      <c r="U382" t="s">
        <v>1016</v>
      </c>
      <c r="V382">
        <f>P382*R382</f>
      </c>
      <c r="W382">
        <f>Q382*V382</f>
      </c>
      <c r="X382">
        <v>730</v>
      </c>
      <c r="Y382" t="s">
        <v>955</v>
      </c>
      <c r="Z382" t="s">
        <v>1011</v>
      </c>
      <c r="AA382"/>
      <c r="AB382"/>
      <c r="AC382" t="s">
        <v>49</v>
      </c>
      <c r="AD382"/>
    </row>
    <row r="383">
      <c r="A383" t="s">
        <v>30</v>
      </c>
      <c r="B383" t="s">
        <v>31</v>
      </c>
      <c r="C383" t="s">
        <v>1010</v>
      </c>
      <c r="D383" t="s">
        <v>478</v>
      </c>
      <c r="E383" t="s">
        <v>479</v>
      </c>
      <c r="F383" s="2">
        <v>46274</v>
      </c>
      <c r="G383">
        <v>3</v>
      </c>
      <c r="H383" t="s">
        <v>108</v>
      </c>
      <c r="I383" t="s">
        <v>109</v>
      </c>
      <c r="J383" t="s">
        <v>110</v>
      </c>
      <c r="K383" t="s">
        <v>57</v>
      </c>
      <c r="L383" t="s">
        <v>111</v>
      </c>
      <c r="M383">
        <v>88</v>
      </c>
      <c r="N383">
        <v>88</v>
      </c>
      <c r="O383" t="s">
        <v>84</v>
      </c>
      <c r="P383">
        <v>1</v>
      </c>
      <c r="Q383">
        <f>N383/P383</f>
      </c>
      <c r="R383" s="1">
        <v>394</v>
      </c>
      <c r="S383" s="1">
        <v>394</v>
      </c>
      <c r="T383">
        <f>IF(R383=S383,"相符","不相符")</f>
      </c>
      <c r="U383" t="s">
        <v>110</v>
      </c>
      <c r="V383">
        <f>P383*R383</f>
      </c>
      <c r="W383">
        <f>Q383*V383</f>
      </c>
      <c r="X383">
        <v>730</v>
      </c>
      <c r="Y383" t="s">
        <v>955</v>
      </c>
      <c r="Z383" t="s">
        <v>1017</v>
      </c>
      <c r="AA383"/>
      <c r="AB383"/>
      <c r="AC383" t="s">
        <v>43</v>
      </c>
      <c r="AD383"/>
    </row>
    <row r="384">
      <c r="A384" t="s">
        <v>30</v>
      </c>
      <c r="B384" t="s">
        <v>31</v>
      </c>
      <c r="C384" t="s">
        <v>1010</v>
      </c>
      <c r="D384" t="s">
        <v>478</v>
      </c>
      <c r="E384" t="s">
        <v>479</v>
      </c>
      <c r="F384" s="2">
        <v>46274</v>
      </c>
      <c r="G384">
        <v>4</v>
      </c>
      <c r="H384" t="s">
        <v>1018</v>
      </c>
      <c r="I384" t="s">
        <v>1019</v>
      </c>
      <c r="J384" t="s">
        <v>1020</v>
      </c>
      <c r="K384" t="s">
        <v>82</v>
      </c>
      <c r="L384" t="s">
        <v>1021</v>
      </c>
      <c r="M384">
        <v>1</v>
      </c>
      <c r="N384">
        <v>1</v>
      </c>
      <c r="O384" t="s">
        <v>84</v>
      </c>
      <c r="P384">
        <v>1</v>
      </c>
      <c r="Q384">
        <f>N384/P384</f>
      </c>
      <c r="R384" s="1">
        <v>1828</v>
      </c>
      <c r="S384" s="1">
        <v>1828</v>
      </c>
      <c r="T384">
        <f>IF(R384=S384,"相符","不相符")</f>
      </c>
      <c r="U384" t="s">
        <v>1020</v>
      </c>
      <c r="V384">
        <f>P384*R384</f>
      </c>
      <c r="W384">
        <f>Q384*V384</f>
      </c>
      <c r="X384">
        <v>730</v>
      </c>
      <c r="Y384" t="s">
        <v>998</v>
      </c>
      <c r="Z384" t="s">
        <v>1022</v>
      </c>
      <c r="AA384"/>
      <c r="AB384"/>
      <c r="AC384" t="s">
        <v>49</v>
      </c>
      <c r="AD384"/>
    </row>
    <row r="385">
      <c r="A385" t="s">
        <v>30</v>
      </c>
      <c r="B385" t="s">
        <v>31</v>
      </c>
      <c r="C385" t="s">
        <v>1010</v>
      </c>
      <c r="D385" t="s">
        <v>478</v>
      </c>
      <c r="E385" t="s">
        <v>479</v>
      </c>
      <c r="F385" s="2">
        <v>46274</v>
      </c>
      <c r="G385">
        <v>5</v>
      </c>
      <c r="H385" t="s">
        <v>1023</v>
      </c>
      <c r="I385" t="s">
        <v>1024</v>
      </c>
      <c r="J385" t="s">
        <v>160</v>
      </c>
      <c r="K385" t="s">
        <v>161</v>
      </c>
      <c r="L385" t="s">
        <v>1025</v>
      </c>
      <c r="M385">
        <v>1</v>
      </c>
      <c r="N385">
        <v>1</v>
      </c>
      <c r="O385" t="s">
        <v>84</v>
      </c>
      <c r="P385">
        <v>1</v>
      </c>
      <c r="Q385">
        <f>N385/P385</f>
      </c>
      <c r="R385" s="1">
        <v>3810</v>
      </c>
      <c r="S385" s="1">
        <v>3540</v>
      </c>
      <c r="T385">
        <f>IF(R385=S385,"相符","不相符")</f>
      </c>
      <c r="U385" t="s">
        <v>160</v>
      </c>
      <c r="V385">
        <f>P385*R385</f>
      </c>
      <c r="W385">
        <f>Q385*V385</f>
      </c>
      <c r="X385">
        <v>365</v>
      </c>
      <c r="Y385" t="s">
        <v>1004</v>
      </c>
      <c r="Z385" t="s">
        <v>1022</v>
      </c>
      <c r="AA385"/>
      <c r="AB385"/>
      <c r="AC385" t="s">
        <v>43</v>
      </c>
      <c r="AD385"/>
    </row>
    <row r="386">
      <c r="A386" t="s">
        <v>30</v>
      </c>
      <c r="B386" t="s">
        <v>31</v>
      </c>
      <c r="C386" t="s">
        <v>1010</v>
      </c>
      <c r="D386" t="s">
        <v>478</v>
      </c>
      <c r="E386" t="s">
        <v>479</v>
      </c>
      <c r="F386" s="2">
        <v>46274</v>
      </c>
      <c r="G386">
        <v>6</v>
      </c>
      <c r="H386" t="s">
        <v>1026</v>
      </c>
      <c r="I386" t="s">
        <v>1027</v>
      </c>
      <c r="J386" t="s">
        <v>1028</v>
      </c>
      <c r="K386" t="s">
        <v>57</v>
      </c>
      <c r="L386" t="s">
        <v>1029</v>
      </c>
      <c r="M386">
        <v>91</v>
      </c>
      <c r="N386">
        <v>91</v>
      </c>
      <c r="O386" t="s">
        <v>84</v>
      </c>
      <c r="P386">
        <v>1</v>
      </c>
      <c r="Q386">
        <f>N386/P386</f>
      </c>
      <c r="R386" s="1">
        <v>394</v>
      </c>
      <c r="S386" s="1">
        <v>394</v>
      </c>
      <c r="T386">
        <f>IF(R386=S386,"相符","不相符")</f>
      </c>
      <c r="U386" t="s">
        <v>1028</v>
      </c>
      <c r="V386">
        <f>P386*R386</f>
      </c>
      <c r="W386">
        <f>Q386*V386</f>
      </c>
      <c r="X386">
        <v>730</v>
      </c>
      <c r="Y386" t="s">
        <v>989</v>
      </c>
      <c r="Z386" t="s">
        <v>1030</v>
      </c>
      <c r="AA386"/>
      <c r="AB386"/>
      <c r="AC386" t="s">
        <v>43</v>
      </c>
      <c r="AD386"/>
    </row>
    <row r="387">
      <c r="A387" t="s">
        <v>30</v>
      </c>
      <c r="B387" t="s">
        <v>31</v>
      </c>
      <c r="C387" t="s">
        <v>1031</v>
      </c>
      <c r="D387" t="s">
        <v>478</v>
      </c>
      <c r="E387" t="s">
        <v>479</v>
      </c>
      <c r="F387" s="2">
        <v>46274</v>
      </c>
      <c r="G387">
        <v>1</v>
      </c>
      <c r="H387" t="s">
        <v>87</v>
      </c>
      <c r="I387" t="s">
        <v>88</v>
      </c>
      <c r="J387" t="s">
        <v>89</v>
      </c>
      <c r="K387" t="s">
        <v>82</v>
      </c>
      <c r="L387" t="s">
        <v>90</v>
      </c>
      <c r="M387">
        <v>34</v>
      </c>
      <c r="N387">
        <v>34</v>
      </c>
      <c r="O387" t="s">
        <v>84</v>
      </c>
      <c r="P387">
        <v>1</v>
      </c>
      <c r="Q387">
        <f>N387/P387</f>
      </c>
      <c r="R387" s="1">
        <v>438</v>
      </c>
      <c r="S387" s="1">
        <v>438</v>
      </c>
      <c r="T387">
        <f>IF(R387=S387,"相符","不相符")</f>
      </c>
      <c r="U387" t="s">
        <v>91</v>
      </c>
      <c r="V387">
        <f>P387*R387</f>
      </c>
      <c r="W387">
        <f>Q387*V387</f>
      </c>
      <c r="X387">
        <v>730</v>
      </c>
      <c r="Y387" t="s">
        <v>955</v>
      </c>
      <c r="Z387" t="s">
        <v>1017</v>
      </c>
      <c r="AA387"/>
      <c r="AB387"/>
      <c r="AC387" t="s">
        <v>43</v>
      </c>
      <c r="AD387"/>
    </row>
    <row r="388">
      <c r="A388" t="s">
        <v>30</v>
      </c>
      <c r="B388" t="s">
        <v>31</v>
      </c>
      <c r="C388" t="s">
        <v>1032</v>
      </c>
      <c r="D388" t="s">
        <v>191</v>
      </c>
      <c r="E388" t="s">
        <v>192</v>
      </c>
      <c r="F388" s="2">
        <v>46274</v>
      </c>
      <c r="G388">
        <v>1</v>
      </c>
      <c r="H388" t="s">
        <v>50</v>
      </c>
      <c r="I388" t="s">
        <v>51</v>
      </c>
      <c r="J388" t="s">
        <v>52</v>
      </c>
      <c r="K388" t="s">
        <v>38</v>
      </c>
      <c r="L388" t="s">
        <v>53</v>
      </c>
      <c r="M388">
        <v>16</v>
      </c>
      <c r="N388">
        <v>16</v>
      </c>
      <c r="O388" t="s">
        <v>40</v>
      </c>
      <c r="P388">
        <v>4</v>
      </c>
      <c r="Q388">
        <f>N388/P388</f>
      </c>
      <c r="R388" s="1">
        <v>555</v>
      </c>
      <c r="S388" s="1">
        <v>555</v>
      </c>
      <c r="T388">
        <f>IF(R388=S388,"相符","不相符")</f>
      </c>
      <c r="U388" t="s">
        <v>52</v>
      </c>
      <c r="V388">
        <f>P388*R388</f>
      </c>
      <c r="W388">
        <f>Q388*V388</f>
      </c>
      <c r="X388">
        <v>730</v>
      </c>
      <c r="Y388" t="s">
        <v>955</v>
      </c>
      <c r="Z388" t="s">
        <v>42</v>
      </c>
      <c r="AA388"/>
      <c r="AB388"/>
      <c r="AC388" t="s">
        <v>43</v>
      </c>
      <c r="AD388"/>
    </row>
    <row r="389">
      <c r="A389" t="s">
        <v>30</v>
      </c>
      <c r="B389" t="s">
        <v>31</v>
      </c>
      <c r="C389" t="s">
        <v>1032</v>
      </c>
      <c r="D389" t="s">
        <v>191</v>
      </c>
      <c r="E389" t="s">
        <v>192</v>
      </c>
      <c r="F389" s="2">
        <v>46274</v>
      </c>
      <c r="G389">
        <v>2</v>
      </c>
      <c r="H389" t="s">
        <v>940</v>
      </c>
      <c r="I389" t="s">
        <v>941</v>
      </c>
      <c r="J389" t="s">
        <v>942</v>
      </c>
      <c r="K389" t="s">
        <v>75</v>
      </c>
      <c r="L389" t="s">
        <v>943</v>
      </c>
      <c r="M389">
        <v>210</v>
      </c>
      <c r="N389">
        <v>210</v>
      </c>
      <c r="O389" t="s">
        <v>40</v>
      </c>
      <c r="P389">
        <v>30</v>
      </c>
      <c r="Q389">
        <f>N389/P389</f>
      </c>
      <c r="R389" s="1">
        <v>107</v>
      </c>
      <c r="S389" s="1">
        <v>107</v>
      </c>
      <c r="T389">
        <f>IF(R389=S389,"相符","不相符")</f>
      </c>
      <c r="U389" t="s">
        <v>944</v>
      </c>
      <c r="V389">
        <f>P389*R389</f>
      </c>
      <c r="W389">
        <f>Q389*V389</f>
      </c>
      <c r="X389">
        <v>365</v>
      </c>
      <c r="Y389" t="s">
        <v>1004</v>
      </c>
      <c r="Z389" t="s">
        <v>42</v>
      </c>
      <c r="AA389"/>
      <c r="AB389"/>
      <c r="AC389" t="s">
        <v>43</v>
      </c>
      <c r="AD389"/>
    </row>
    <row r="390">
      <c r="A390" t="s">
        <v>30</v>
      </c>
      <c r="B390" t="s">
        <v>31</v>
      </c>
      <c r="C390" t="s">
        <v>1033</v>
      </c>
      <c r="D390" t="s">
        <v>191</v>
      </c>
      <c r="E390" t="s">
        <v>192</v>
      </c>
      <c r="F390" s="2">
        <v>46274</v>
      </c>
      <c r="G390">
        <v>1</v>
      </c>
      <c r="H390" t="s">
        <v>306</v>
      </c>
      <c r="I390" t="s">
        <v>307</v>
      </c>
      <c r="J390" t="s">
        <v>308</v>
      </c>
      <c r="K390" t="s">
        <v>57</v>
      </c>
      <c r="L390" t="s">
        <v>309</v>
      </c>
      <c r="M390">
        <v>46</v>
      </c>
      <c r="N390">
        <v>42</v>
      </c>
      <c r="O390" t="s">
        <v>40</v>
      </c>
      <c r="P390">
        <v>6</v>
      </c>
      <c r="Q390">
        <f>N390/P390</f>
      </c>
      <c r="R390" s="1">
        <v>129</v>
      </c>
      <c r="S390" s="1">
        <v>129</v>
      </c>
      <c r="T390">
        <f>IF(R390=S390,"相符","不相符")</f>
      </c>
      <c r="U390" t="s">
        <v>310</v>
      </c>
      <c r="V390">
        <f>P390*R390</f>
      </c>
      <c r="W390">
        <f>Q390*V390</f>
      </c>
      <c r="X390">
        <v>540</v>
      </c>
      <c r="Y390" t="s">
        <v>1034</v>
      </c>
      <c r="Z390" t="s">
        <v>42</v>
      </c>
      <c r="AA390"/>
      <c r="AB390"/>
      <c r="AC390" t="s">
        <v>43</v>
      </c>
      <c r="AD390"/>
    </row>
    <row r="391">
      <c r="A391" t="s">
        <v>30</v>
      </c>
      <c r="B391" t="s">
        <v>31</v>
      </c>
      <c r="C391" t="s">
        <v>1033</v>
      </c>
      <c r="D391" t="s">
        <v>191</v>
      </c>
      <c r="E391" t="s">
        <v>192</v>
      </c>
      <c r="F391" s="2">
        <v>46274</v>
      </c>
      <c r="G391">
        <v>2</v>
      </c>
      <c r="H391" t="s">
        <v>134</v>
      </c>
      <c r="I391" t="s">
        <v>135</v>
      </c>
      <c r="J391" t="s">
        <v>136</v>
      </c>
      <c r="K391" t="s">
        <v>38</v>
      </c>
      <c r="L391" t="s">
        <v>137</v>
      </c>
      <c r="M391">
        <v>80</v>
      </c>
      <c r="N391">
        <v>80</v>
      </c>
      <c r="O391" t="s">
        <v>40</v>
      </c>
      <c r="P391">
        <v>10</v>
      </c>
      <c r="Q391">
        <f>N391/P391</f>
      </c>
      <c r="R391" s="1">
        <v>277</v>
      </c>
      <c r="S391" s="1">
        <v>277</v>
      </c>
      <c r="T391">
        <f>IF(R391=S391,"相符","不相符")</f>
      </c>
      <c r="U391" t="s">
        <v>138</v>
      </c>
      <c r="V391">
        <f>P391*R391</f>
      </c>
      <c r="W391">
        <f>Q391*V391</f>
      </c>
      <c r="X391">
        <v>730</v>
      </c>
      <c r="Y391" t="s">
        <v>998</v>
      </c>
      <c r="Z391" t="s">
        <v>42</v>
      </c>
      <c r="AA391"/>
      <c r="AB391"/>
      <c r="AC391" t="s">
        <v>49</v>
      </c>
      <c r="AD391"/>
    </row>
    <row r="392">
      <c r="A392" t="s">
        <v>30</v>
      </c>
      <c r="B392" t="s">
        <v>31</v>
      </c>
      <c r="C392" t="s">
        <v>1033</v>
      </c>
      <c r="D392" t="s">
        <v>191</v>
      </c>
      <c r="E392" t="s">
        <v>192</v>
      </c>
      <c r="F392" s="2">
        <v>46274</v>
      </c>
      <c r="G392">
        <v>3</v>
      </c>
      <c r="H392" t="s">
        <v>143</v>
      </c>
      <c r="I392" t="s">
        <v>144</v>
      </c>
      <c r="J392" t="s">
        <v>145</v>
      </c>
      <c r="K392" t="s">
        <v>57</v>
      </c>
      <c r="L392" t="s">
        <v>146</v>
      </c>
      <c r="M392">
        <v>44</v>
      </c>
      <c r="N392">
        <v>42</v>
      </c>
      <c r="O392" t="s">
        <v>40</v>
      </c>
      <c r="P392">
        <v>6</v>
      </c>
      <c r="Q392">
        <f>N392/P392</f>
      </c>
      <c r="R392" s="1">
        <v>129</v>
      </c>
      <c r="S392" s="1">
        <v>129</v>
      </c>
      <c r="T392">
        <f>IF(R392=S392,"相符","不相符")</f>
      </c>
      <c r="U392" t="s">
        <v>145</v>
      </c>
      <c r="V392">
        <f>P392*R392</f>
      </c>
      <c r="W392">
        <f>Q392*V392</f>
      </c>
      <c r="X392">
        <v>540</v>
      </c>
      <c r="Y392" t="s">
        <v>1034</v>
      </c>
      <c r="Z392" t="s">
        <v>42</v>
      </c>
      <c r="AA392"/>
      <c r="AB392"/>
      <c r="AC392" t="s">
        <v>43</v>
      </c>
      <c r="AD392"/>
    </row>
    <row r="393">
      <c r="A393" t="s">
        <v>30</v>
      </c>
      <c r="B393" t="s">
        <v>31</v>
      </c>
      <c r="C393" t="s">
        <v>1033</v>
      </c>
      <c r="D393" t="s">
        <v>191</v>
      </c>
      <c r="E393" t="s">
        <v>192</v>
      </c>
      <c r="F393" s="2">
        <v>46274</v>
      </c>
      <c r="G393">
        <v>4</v>
      </c>
      <c r="H393" t="s">
        <v>184</v>
      </c>
      <c r="I393" t="s">
        <v>185</v>
      </c>
      <c r="J393" t="s">
        <v>186</v>
      </c>
      <c r="K393" t="s">
        <v>69</v>
      </c>
      <c r="L393" t="s">
        <v>187</v>
      </c>
      <c r="M393">
        <v>240</v>
      </c>
      <c r="N393">
        <v>40</v>
      </c>
      <c r="O393" t="s">
        <v>177</v>
      </c>
      <c r="P393">
        <v>40</v>
      </c>
      <c r="Q393">
        <f>N393/P393</f>
      </c>
      <c r="R393" s="1">
        <v>118.2</v>
      </c>
      <c r="S393" s="1">
        <v>118</v>
      </c>
      <c r="T393">
        <f>IF(R393=S393,"相符","不相符")</f>
      </c>
      <c r="U393" t="s">
        <v>186</v>
      </c>
      <c r="V393">
        <f>P393*R393</f>
      </c>
      <c r="W393">
        <f>Q393*V393</f>
      </c>
      <c r="X393">
        <v>540</v>
      </c>
      <c r="Y393" t="s">
        <v>982</v>
      </c>
      <c r="Z393" t="s">
        <v>42</v>
      </c>
      <c r="AA393"/>
      <c r="AB393"/>
      <c r="AC393" t="s">
        <v>43</v>
      </c>
      <c r="AD393"/>
    </row>
    <row r="394">
      <c r="A394" t="s">
        <v>30</v>
      </c>
      <c r="B394" t="s">
        <v>31</v>
      </c>
      <c r="C394" t="s">
        <v>1035</v>
      </c>
      <c r="D394" t="s">
        <v>191</v>
      </c>
      <c r="E394" t="s">
        <v>192</v>
      </c>
      <c r="F394" s="2">
        <v>46274</v>
      </c>
      <c r="G394">
        <v>1</v>
      </c>
      <c r="H394" t="s">
        <v>398</v>
      </c>
      <c r="I394" t="s">
        <v>399</v>
      </c>
      <c r="J394" t="s">
        <v>400</v>
      </c>
      <c r="K394" t="s">
        <v>69</v>
      </c>
      <c r="L394" t="s">
        <v>401</v>
      </c>
      <c r="M394">
        <v>104</v>
      </c>
      <c r="N394">
        <v>104</v>
      </c>
      <c r="O394" t="s">
        <v>40</v>
      </c>
      <c r="P394">
        <v>4</v>
      </c>
      <c r="Q394">
        <f>N394/P394</f>
      </c>
      <c r="R394" s="1">
        <v>739</v>
      </c>
      <c r="S394" s="1">
        <v>739</v>
      </c>
      <c r="T394">
        <f>IF(R394=S394,"相符","不相符")</f>
      </c>
      <c r="U394" t="s">
        <v>400</v>
      </c>
      <c r="V394">
        <f>P394*R394</f>
      </c>
      <c r="W394">
        <f>Q394*V394</f>
      </c>
      <c r="X394">
        <v>540</v>
      </c>
      <c r="Y394" t="s">
        <v>971</v>
      </c>
      <c r="Z394" t="s">
        <v>42</v>
      </c>
      <c r="AA394"/>
      <c r="AB394"/>
      <c r="AC394" t="s">
        <v>43</v>
      </c>
      <c r="AD394"/>
    </row>
    <row r="395">
      <c r="A395" t="s">
        <v>30</v>
      </c>
      <c r="B395" t="s">
        <v>31</v>
      </c>
      <c r="C395" t="s">
        <v>1036</v>
      </c>
      <c r="D395" t="s">
        <v>33</v>
      </c>
      <c r="E395" t="s">
        <v>34</v>
      </c>
      <c r="F395" s="2">
        <v>46274</v>
      </c>
      <c r="G395">
        <v>1</v>
      </c>
      <c r="H395" t="s">
        <v>1037</v>
      </c>
      <c r="I395" t="s">
        <v>1038</v>
      </c>
      <c r="J395" t="s">
        <v>1039</v>
      </c>
      <c r="K395" t="s">
        <v>121</v>
      </c>
      <c r="L395" t="s">
        <v>1040</v>
      </c>
      <c r="M395">
        <v>240</v>
      </c>
      <c r="N395">
        <v>240</v>
      </c>
      <c r="O395" t="s">
        <v>177</v>
      </c>
      <c r="P395">
        <v>60</v>
      </c>
      <c r="Q395">
        <f>N395/P395</f>
      </c>
      <c r="R395" s="1">
        <v>51.13</v>
      </c>
      <c r="S395" s="1">
        <v>51</v>
      </c>
      <c r="T395">
        <f>IF(R395=S395,"相符","不相符")</f>
      </c>
      <c r="U395" t="s">
        <v>1039</v>
      </c>
      <c r="V395">
        <f>P395*R395</f>
      </c>
      <c r="W395">
        <f>Q395*V395</f>
      </c>
      <c r="X395">
        <v>365</v>
      </c>
      <c r="Y395" t="s">
        <v>1004</v>
      </c>
      <c r="Z395" t="s">
        <v>1041</v>
      </c>
      <c r="AA395"/>
      <c r="AB395"/>
      <c r="AC395" t="s">
        <v>43</v>
      </c>
      <c r="AD395"/>
    </row>
    <row r="396">
      <c r="A396" t="s">
        <v>30</v>
      </c>
      <c r="B396" t="s">
        <v>31</v>
      </c>
      <c r="C396" t="s">
        <v>1042</v>
      </c>
      <c r="D396" t="s">
        <v>478</v>
      </c>
      <c r="E396" t="s">
        <v>479</v>
      </c>
      <c r="F396" s="2">
        <v>46274</v>
      </c>
      <c r="G396">
        <v>1</v>
      </c>
      <c r="H396" t="s">
        <v>153</v>
      </c>
      <c r="I396" t="s">
        <v>154</v>
      </c>
      <c r="J396" t="s">
        <v>155</v>
      </c>
      <c r="K396" t="s">
        <v>75</v>
      </c>
      <c r="L396" t="s">
        <v>156</v>
      </c>
      <c r="M396">
        <v>209</v>
      </c>
      <c r="N396">
        <v>204</v>
      </c>
      <c r="O396" t="s">
        <v>40</v>
      </c>
      <c r="P396">
        <v>6</v>
      </c>
      <c r="Q396">
        <f>N396/P396</f>
      </c>
      <c r="R396" s="1">
        <v>511</v>
      </c>
      <c r="S396" s="1">
        <v>511</v>
      </c>
      <c r="T396">
        <f>IF(R396=S396,"相符","不相符")</f>
      </c>
      <c r="U396" t="s">
        <v>157</v>
      </c>
      <c r="V396">
        <f>P396*R396</f>
      </c>
      <c r="W396">
        <f>Q396*V396</f>
      </c>
      <c r="X396">
        <v>365</v>
      </c>
      <c r="Y396" t="s">
        <v>1004</v>
      </c>
      <c r="Z396" t="s">
        <v>1041</v>
      </c>
      <c r="AA396"/>
      <c r="AB396"/>
      <c r="AC396" t="s">
        <v>43</v>
      </c>
      <c r="AD396"/>
    </row>
    <row r="397">
      <c r="A397" t="s">
        <v>30</v>
      </c>
      <c r="B397" t="s">
        <v>31</v>
      </c>
      <c r="C397" t="s">
        <v>1042</v>
      </c>
      <c r="D397" t="s">
        <v>478</v>
      </c>
      <c r="E397" t="s">
        <v>479</v>
      </c>
      <c r="F397" s="2">
        <v>46274</v>
      </c>
      <c r="G397">
        <v>2</v>
      </c>
      <c r="H397" t="s">
        <v>1043</v>
      </c>
      <c r="I397" t="s">
        <v>1044</v>
      </c>
      <c r="J397" t="s">
        <v>1045</v>
      </c>
      <c r="K397" t="s">
        <v>63</v>
      </c>
      <c r="L397" t="s">
        <v>1046</v>
      </c>
      <c r="M397">
        <v>28</v>
      </c>
      <c r="N397">
        <v>24</v>
      </c>
      <c r="O397" t="s">
        <v>40</v>
      </c>
      <c r="P397">
        <v>12</v>
      </c>
      <c r="Q397">
        <f>N397/P397</f>
      </c>
      <c r="R397" s="1">
        <v>317</v>
      </c>
      <c r="S397" s="1">
        <v>317</v>
      </c>
      <c r="T397">
        <f>IF(R397=S397,"相符","不相符")</f>
      </c>
      <c r="U397" t="s">
        <v>1045</v>
      </c>
      <c r="V397">
        <f>P397*R397</f>
      </c>
      <c r="W397">
        <f>Q397*V397</f>
      </c>
      <c r="X397">
        <v>450</v>
      </c>
      <c r="Y397" t="s">
        <v>428</v>
      </c>
      <c r="Z397" t="s">
        <v>1041</v>
      </c>
      <c r="AA397"/>
      <c r="AB397"/>
      <c r="AC397" t="s">
        <v>43</v>
      </c>
      <c r="AD397"/>
    </row>
    <row r="398">
      <c r="A398" t="s">
        <v>30</v>
      </c>
      <c r="B398" t="s">
        <v>31</v>
      </c>
      <c r="C398" t="s">
        <v>1042</v>
      </c>
      <c r="D398" t="s">
        <v>478</v>
      </c>
      <c r="E398" t="s">
        <v>479</v>
      </c>
      <c r="F398" s="2">
        <v>46274</v>
      </c>
      <c r="G398">
        <v>3</v>
      </c>
      <c r="H398" t="s">
        <v>1047</v>
      </c>
      <c r="I398" t="s">
        <v>1048</v>
      </c>
      <c r="J398" t="s">
        <v>1049</v>
      </c>
      <c r="K398" t="s">
        <v>121</v>
      </c>
      <c r="L398" t="s">
        <v>1050</v>
      </c>
      <c r="M398">
        <v>30</v>
      </c>
      <c r="N398">
        <v>30</v>
      </c>
      <c r="O398" t="s">
        <v>40</v>
      </c>
      <c r="P398">
        <v>6</v>
      </c>
      <c r="Q398">
        <f>N398/P398</f>
      </c>
      <c r="R398" s="1">
        <v>511</v>
      </c>
      <c r="S398" s="1">
        <v>511</v>
      </c>
      <c r="T398">
        <f>IF(R398=S398,"相符","不相符")</f>
      </c>
      <c r="U398" t="s">
        <v>1051</v>
      </c>
      <c r="V398">
        <f>P398*R398</f>
      </c>
      <c r="W398">
        <f>Q398*V398</f>
      </c>
      <c r="X398">
        <v>365</v>
      </c>
      <c r="Y398" t="s">
        <v>1004</v>
      </c>
      <c r="Z398" t="s">
        <v>1041</v>
      </c>
      <c r="AA398"/>
      <c r="AB398"/>
      <c r="AC398" t="s">
        <v>43</v>
      </c>
      <c r="AD398"/>
    </row>
    <row r="399">
      <c r="A399" t="s">
        <v>30</v>
      </c>
      <c r="B399" t="s">
        <v>31</v>
      </c>
      <c r="C399" t="s">
        <v>1042</v>
      </c>
      <c r="D399" t="s">
        <v>478</v>
      </c>
      <c r="E399" t="s">
        <v>479</v>
      </c>
      <c r="F399" s="2">
        <v>46274</v>
      </c>
      <c r="G399">
        <v>4</v>
      </c>
      <c r="H399" t="s">
        <v>940</v>
      </c>
      <c r="I399" t="s">
        <v>941</v>
      </c>
      <c r="J399" t="s">
        <v>942</v>
      </c>
      <c r="K399" t="s">
        <v>75</v>
      </c>
      <c r="L399" t="s">
        <v>943</v>
      </c>
      <c r="M399">
        <v>120</v>
      </c>
      <c r="N399">
        <v>120</v>
      </c>
      <c r="O399" t="s">
        <v>40</v>
      </c>
      <c r="P399">
        <v>30</v>
      </c>
      <c r="Q399">
        <f>N399/P399</f>
      </c>
      <c r="R399" s="1">
        <v>107</v>
      </c>
      <c r="S399" s="1">
        <v>107</v>
      </c>
      <c r="T399">
        <f>IF(R399=S399,"相符","不相符")</f>
      </c>
      <c r="U399" t="s">
        <v>944</v>
      </c>
      <c r="V399">
        <f>P399*R399</f>
      </c>
      <c r="W399">
        <f>Q399*V399</f>
      </c>
      <c r="X399">
        <v>365</v>
      </c>
      <c r="Y399" t="s">
        <v>1004</v>
      </c>
      <c r="Z399" t="s">
        <v>1041</v>
      </c>
      <c r="AA399"/>
      <c r="AB399"/>
      <c r="AC399" t="s">
        <v>43</v>
      </c>
      <c r="AD399"/>
    </row>
    <row r="400">
      <c r="A400" t="s">
        <v>30</v>
      </c>
      <c r="B400" t="s">
        <v>31</v>
      </c>
      <c r="C400" t="s">
        <v>1042</v>
      </c>
      <c r="D400" t="s">
        <v>478</v>
      </c>
      <c r="E400" t="s">
        <v>479</v>
      </c>
      <c r="F400" s="2">
        <v>46274</v>
      </c>
      <c r="G400">
        <v>5</v>
      </c>
      <c r="H400" t="s">
        <v>1052</v>
      </c>
      <c r="I400" t="s">
        <v>1053</v>
      </c>
      <c r="J400" t="s">
        <v>1054</v>
      </c>
      <c r="K400" t="s">
        <v>121</v>
      </c>
      <c r="L400" t="s">
        <v>1055</v>
      </c>
      <c r="M400">
        <v>54</v>
      </c>
      <c r="N400">
        <v>54</v>
      </c>
      <c r="O400" t="s">
        <v>40</v>
      </c>
      <c r="P400">
        <v>18</v>
      </c>
      <c r="Q400">
        <f>N400/P400</f>
      </c>
      <c r="R400" s="1">
        <v>261</v>
      </c>
      <c r="S400" s="1">
        <v>261</v>
      </c>
      <c r="T400">
        <f>IF(R400=S400,"相符","不相符")</f>
      </c>
      <c r="U400" t="s">
        <v>1054</v>
      </c>
      <c r="V400">
        <f>P400*R400</f>
      </c>
      <c r="W400">
        <f>Q400*V400</f>
      </c>
      <c r="X400">
        <v>365</v>
      </c>
      <c r="Y400" t="s">
        <v>1056</v>
      </c>
      <c r="Z400" t="s">
        <v>1041</v>
      </c>
      <c r="AA400"/>
      <c r="AB400"/>
      <c r="AC400" t="s">
        <v>43</v>
      </c>
      <c r="AD400"/>
    </row>
    <row r="401">
      <c r="A401" t="s">
        <v>30</v>
      </c>
      <c r="B401" t="s">
        <v>31</v>
      </c>
      <c r="C401" t="s">
        <v>1042</v>
      </c>
      <c r="D401" t="s">
        <v>478</v>
      </c>
      <c r="E401" t="s">
        <v>479</v>
      </c>
      <c r="F401" s="2">
        <v>46274</v>
      </c>
      <c r="G401">
        <v>6</v>
      </c>
      <c r="H401" t="s">
        <v>1037</v>
      </c>
      <c r="I401" t="s">
        <v>1038</v>
      </c>
      <c r="J401" t="s">
        <v>1039</v>
      </c>
      <c r="K401" t="s">
        <v>121</v>
      </c>
      <c r="L401" t="s">
        <v>1040</v>
      </c>
      <c r="M401">
        <v>240</v>
      </c>
      <c r="N401">
        <v>240</v>
      </c>
      <c r="O401" t="s">
        <v>177</v>
      </c>
      <c r="P401">
        <v>60</v>
      </c>
      <c r="Q401">
        <f>N401/P401</f>
      </c>
      <c r="R401" s="1">
        <v>51.13</v>
      </c>
      <c r="S401" s="1">
        <v>51</v>
      </c>
      <c r="T401">
        <f>IF(R401=S401,"相符","不相符")</f>
      </c>
      <c r="U401" t="s">
        <v>1039</v>
      </c>
      <c r="V401">
        <f>P401*R401</f>
      </c>
      <c r="W401">
        <f>Q401*V401</f>
      </c>
      <c r="X401">
        <v>365</v>
      </c>
      <c r="Y401" t="s">
        <v>1004</v>
      </c>
      <c r="Z401" t="s">
        <v>1041</v>
      </c>
      <c r="AA401"/>
      <c r="AB401"/>
      <c r="AC401" t="s">
        <v>43</v>
      </c>
      <c r="AD401"/>
    </row>
    <row r="402">
      <c r="A402" t="s">
        <v>30</v>
      </c>
      <c r="B402" t="s">
        <v>31</v>
      </c>
      <c r="C402" t="s">
        <v>1057</v>
      </c>
      <c r="D402" t="s">
        <v>191</v>
      </c>
      <c r="E402" t="s">
        <v>192</v>
      </c>
      <c r="F402" s="2">
        <v>46274</v>
      </c>
      <c r="G402">
        <v>1</v>
      </c>
      <c r="H402" t="s">
        <v>323</v>
      </c>
      <c r="I402" t="s">
        <v>324</v>
      </c>
      <c r="J402" t="s">
        <v>325</v>
      </c>
      <c r="K402" t="s">
        <v>82</v>
      </c>
      <c r="L402" t="s">
        <v>326</v>
      </c>
      <c r="M402">
        <v>14</v>
      </c>
      <c r="N402">
        <v>14</v>
      </c>
      <c r="O402" t="s">
        <v>84</v>
      </c>
      <c r="P402">
        <v>1</v>
      </c>
      <c r="Q402">
        <f>N402/P402</f>
      </c>
      <c r="R402" s="1">
        <v>635</v>
      </c>
      <c r="S402" s="1">
        <v>635</v>
      </c>
      <c r="T402">
        <f>IF(R402=S402,"相符","不相符")</f>
      </c>
      <c r="U402" t="s">
        <v>327</v>
      </c>
      <c r="V402">
        <f>P402*R402</f>
      </c>
      <c r="W402">
        <f>Q402*V402</f>
      </c>
      <c r="X402">
        <v>730</v>
      </c>
      <c r="Y402" t="s">
        <v>955</v>
      </c>
      <c r="Z402" t="s">
        <v>1058</v>
      </c>
      <c r="AA402"/>
      <c r="AB402"/>
      <c r="AC402" t="s">
        <v>49</v>
      </c>
      <c r="AD402"/>
    </row>
    <row r="403">
      <c r="A403" t="s">
        <v>30</v>
      </c>
      <c r="B403" t="s">
        <v>31</v>
      </c>
      <c r="C403" t="s">
        <v>1057</v>
      </c>
      <c r="D403" t="s">
        <v>191</v>
      </c>
      <c r="E403" t="s">
        <v>192</v>
      </c>
      <c r="F403" s="2">
        <v>46274</v>
      </c>
      <c r="G403">
        <v>2</v>
      </c>
      <c r="H403" t="s">
        <v>510</v>
      </c>
      <c r="I403" t="s">
        <v>511</v>
      </c>
      <c r="J403" t="s">
        <v>512</v>
      </c>
      <c r="K403" t="s">
        <v>82</v>
      </c>
      <c r="L403" t="s">
        <v>513</v>
      </c>
      <c r="M403">
        <v>177</v>
      </c>
      <c r="N403">
        <v>177</v>
      </c>
      <c r="O403" t="s">
        <v>84</v>
      </c>
      <c r="P403">
        <v>1</v>
      </c>
      <c r="Q403">
        <f>N403/P403</f>
      </c>
      <c r="R403" s="1">
        <v>438</v>
      </c>
      <c r="S403" s="1">
        <v>438</v>
      </c>
      <c r="T403">
        <f>IF(R403=S403,"相符","不相符")</f>
      </c>
      <c r="U403" t="s">
        <v>512</v>
      </c>
      <c r="V403">
        <f>P403*R403</f>
      </c>
      <c r="W403">
        <f>Q403*V403</f>
      </c>
      <c r="X403">
        <v>730</v>
      </c>
      <c r="Y403" t="s">
        <v>955</v>
      </c>
      <c r="Z403" t="s">
        <v>1058</v>
      </c>
      <c r="AA403"/>
      <c r="AB403"/>
      <c r="AC403" t="s">
        <v>43</v>
      </c>
      <c r="AD403"/>
    </row>
    <row r="404">
      <c r="A404" t="s">
        <v>30</v>
      </c>
      <c r="B404" t="s">
        <v>31</v>
      </c>
      <c r="C404" t="s">
        <v>1057</v>
      </c>
      <c r="D404" t="s">
        <v>191</v>
      </c>
      <c r="E404" t="s">
        <v>192</v>
      </c>
      <c r="F404" s="2">
        <v>46274</v>
      </c>
      <c r="G404">
        <v>3</v>
      </c>
      <c r="H404" t="s">
        <v>1012</v>
      </c>
      <c r="I404" t="s">
        <v>1013</v>
      </c>
      <c r="J404" t="s">
        <v>1014</v>
      </c>
      <c r="K404" t="s">
        <v>82</v>
      </c>
      <c r="L404" t="s">
        <v>1015</v>
      </c>
      <c r="M404">
        <v>5</v>
      </c>
      <c r="N404">
        <v>5</v>
      </c>
      <c r="O404" t="s">
        <v>84</v>
      </c>
      <c r="P404">
        <v>1</v>
      </c>
      <c r="Q404">
        <f>N404/P404</f>
      </c>
      <c r="R404" s="1">
        <v>635</v>
      </c>
      <c r="S404" s="1">
        <v>635</v>
      </c>
      <c r="T404">
        <f>IF(R404=S404,"相符","不相符")</f>
      </c>
      <c r="U404" t="s">
        <v>1016</v>
      </c>
      <c r="V404">
        <f>P404*R404</f>
      </c>
      <c r="W404">
        <f>Q404*V404</f>
      </c>
      <c r="X404">
        <v>730</v>
      </c>
      <c r="Y404" t="s">
        <v>955</v>
      </c>
      <c r="Z404" t="s">
        <v>1058</v>
      </c>
      <c r="AA404"/>
      <c r="AB404"/>
      <c r="AC404" t="s">
        <v>49</v>
      </c>
      <c r="AD404"/>
    </row>
    <row r="405">
      <c r="A405" t="s">
        <v>30</v>
      </c>
      <c r="B405" t="s">
        <v>31</v>
      </c>
      <c r="C405" t="s">
        <v>1057</v>
      </c>
      <c r="D405" t="s">
        <v>191</v>
      </c>
      <c r="E405" t="s">
        <v>192</v>
      </c>
      <c r="F405" s="2">
        <v>46274</v>
      </c>
      <c r="G405">
        <v>4</v>
      </c>
      <c r="H405" t="s">
        <v>1026</v>
      </c>
      <c r="I405" t="s">
        <v>1027</v>
      </c>
      <c r="J405" t="s">
        <v>1028</v>
      </c>
      <c r="K405" t="s">
        <v>57</v>
      </c>
      <c r="L405" t="s">
        <v>1029</v>
      </c>
      <c r="M405">
        <v>97</v>
      </c>
      <c r="N405">
        <v>97</v>
      </c>
      <c r="O405" t="s">
        <v>84</v>
      </c>
      <c r="P405">
        <v>1</v>
      </c>
      <c r="Q405">
        <f>N405/P405</f>
      </c>
      <c r="R405" s="1">
        <v>394</v>
      </c>
      <c r="S405" s="1">
        <v>394</v>
      </c>
      <c r="T405">
        <f>IF(R405=S405,"相符","不相符")</f>
      </c>
      <c r="U405" t="s">
        <v>1028</v>
      </c>
      <c r="V405">
        <f>P405*R405</f>
      </c>
      <c r="W405">
        <f>Q405*V405</f>
      </c>
      <c r="X405">
        <v>730</v>
      </c>
      <c r="Y405" t="s">
        <v>989</v>
      </c>
      <c r="Z405" t="s">
        <v>1058</v>
      </c>
      <c r="AA405"/>
      <c r="AB405"/>
      <c r="AC405" t="s">
        <v>43</v>
      </c>
      <c r="AD405"/>
    </row>
    <row r="406">
      <c r="A406" t="s">
        <v>30</v>
      </c>
      <c r="B406" t="s">
        <v>189</v>
      </c>
      <c r="C406" t="s">
        <v>1059</v>
      </c>
      <c r="D406" t="s">
        <v>478</v>
      </c>
      <c r="E406" t="s">
        <v>479</v>
      </c>
      <c r="F406" s="2">
        <v>46274</v>
      </c>
      <c r="G406">
        <v>1</v>
      </c>
      <c r="H406" t="s">
        <v>1060</v>
      </c>
      <c r="I406" t="s">
        <v>634</v>
      </c>
      <c r="J406" t="s">
        <v>634</v>
      </c>
      <c r="K406" t="s">
        <v>419</v>
      </c>
      <c r="L406" t="s">
        <v>1061</v>
      </c>
      <c r="M406">
        <v>241</v>
      </c>
      <c r="N406">
        <v>240</v>
      </c>
      <c r="O406" t="s">
        <v>177</v>
      </c>
      <c r="P406">
        <v>4</v>
      </c>
      <c r="Q406">
        <f>N406/P406</f>
      </c>
      <c r="R406" s="1">
        <v>339</v>
      </c>
      <c r="S406" s="1">
        <v>339</v>
      </c>
      <c r="T406">
        <f>IF(R406=S406,"相符","不相符")</f>
      </c>
      <c r="U406"/>
      <c r="V406">
        <f>P406*R406</f>
      </c>
      <c r="W406">
        <f>Q406*V406</f>
      </c>
      <c r="X406">
        <v>1095</v>
      </c>
      <c r="Y406" t="s">
        <v>1062</v>
      </c>
      <c r="Z406" t="s">
        <v>1063</v>
      </c>
      <c r="AA406"/>
      <c r="AB406"/>
      <c r="AC406" t="s">
        <v>49</v>
      </c>
      <c r="AD406"/>
    </row>
    <row r="407">
      <c r="A407" t="s">
        <v>30</v>
      </c>
      <c r="B407" t="s">
        <v>189</v>
      </c>
      <c r="C407" t="s">
        <v>1059</v>
      </c>
      <c r="D407" t="s">
        <v>478</v>
      </c>
      <c r="E407" t="s">
        <v>479</v>
      </c>
      <c r="F407" s="2">
        <v>46274</v>
      </c>
      <c r="G407">
        <v>2</v>
      </c>
      <c r="H407" t="s">
        <v>665</v>
      </c>
      <c r="I407" t="s">
        <v>666</v>
      </c>
      <c r="J407" t="s">
        <v>666</v>
      </c>
      <c r="K407" t="s">
        <v>419</v>
      </c>
      <c r="L407" t="s">
        <v>667</v>
      </c>
      <c r="M407">
        <v>428</v>
      </c>
      <c r="N407">
        <v>428</v>
      </c>
      <c r="O407" t="s">
        <v>177</v>
      </c>
      <c r="P407">
        <v>4</v>
      </c>
      <c r="Q407">
        <f>N407/P407</f>
      </c>
      <c r="R407" s="1">
        <v>323</v>
      </c>
      <c r="S407" s="1">
        <v>323</v>
      </c>
      <c r="T407">
        <f>IF(R407=S407,"相符","不相符")</f>
      </c>
      <c r="U407"/>
      <c r="V407">
        <f>P407*R407</f>
      </c>
      <c r="W407">
        <f>Q407*V407</f>
      </c>
      <c r="X407">
        <v>1095</v>
      </c>
      <c r="Y407" t="s">
        <v>1062</v>
      </c>
      <c r="Z407" t="s">
        <v>1063</v>
      </c>
      <c r="AA407"/>
      <c r="AB407"/>
      <c r="AC407" t="s">
        <v>49</v>
      </c>
      <c r="AD407"/>
    </row>
    <row r="408">
      <c r="A408" t="s">
        <v>30</v>
      </c>
      <c r="B408" t="s">
        <v>189</v>
      </c>
      <c r="C408" t="s">
        <v>1059</v>
      </c>
      <c r="D408" t="s">
        <v>478</v>
      </c>
      <c r="E408" t="s">
        <v>479</v>
      </c>
      <c r="F408" s="2">
        <v>46274</v>
      </c>
      <c r="G408">
        <v>3</v>
      </c>
      <c r="H408" t="s">
        <v>648</v>
      </c>
      <c r="I408" t="s">
        <v>649</v>
      </c>
      <c r="J408" t="s">
        <v>649</v>
      </c>
      <c r="K408" t="s">
        <v>419</v>
      </c>
      <c r="L408" t="s">
        <v>650</v>
      </c>
      <c r="M408">
        <v>1290</v>
      </c>
      <c r="N408">
        <v>1288</v>
      </c>
      <c r="O408" t="s">
        <v>177</v>
      </c>
      <c r="P408">
        <v>4</v>
      </c>
      <c r="Q408">
        <f>N408/P408</f>
      </c>
      <c r="R408" s="1">
        <v>323</v>
      </c>
      <c r="S408" s="1">
        <v>323</v>
      </c>
      <c r="T408">
        <f>IF(R408=S408,"相符","不相符")</f>
      </c>
      <c r="U408"/>
      <c r="V408">
        <f>P408*R408</f>
      </c>
      <c r="W408">
        <f>Q408*V408</f>
      </c>
      <c r="X408">
        <v>1095</v>
      </c>
      <c r="Y408" t="s">
        <v>1062</v>
      </c>
      <c r="Z408" t="s">
        <v>1063</v>
      </c>
      <c r="AA408"/>
      <c r="AB408"/>
      <c r="AC408" t="s">
        <v>49</v>
      </c>
      <c r="AD408"/>
    </row>
    <row r="409">
      <c r="A409" t="s">
        <v>30</v>
      </c>
      <c r="B409" t="s">
        <v>189</v>
      </c>
      <c r="C409" t="s">
        <v>1059</v>
      </c>
      <c r="D409" t="s">
        <v>478</v>
      </c>
      <c r="E409" t="s">
        <v>479</v>
      </c>
      <c r="F409" s="2">
        <v>46274</v>
      </c>
      <c r="G409">
        <v>4</v>
      </c>
      <c r="H409" t="s">
        <v>460</v>
      </c>
      <c r="I409" t="s">
        <v>461</v>
      </c>
      <c r="J409" t="s">
        <v>461</v>
      </c>
      <c r="K409" t="s">
        <v>419</v>
      </c>
      <c r="L409" t="s">
        <v>462</v>
      </c>
      <c r="M409">
        <v>950</v>
      </c>
      <c r="N409">
        <v>948</v>
      </c>
      <c r="O409" t="s">
        <v>177</v>
      </c>
      <c r="P409">
        <v>4</v>
      </c>
      <c r="Q409">
        <f>N409/P409</f>
      </c>
      <c r="R409" s="1">
        <v>323</v>
      </c>
      <c r="S409" s="1">
        <v>323</v>
      </c>
      <c r="T409">
        <f>IF(R409=S409,"相符","不相符")</f>
      </c>
      <c r="U409"/>
      <c r="V409">
        <f>P409*R409</f>
      </c>
      <c r="W409">
        <f>Q409*V409</f>
      </c>
      <c r="X409">
        <v>1095</v>
      </c>
      <c r="Y409" t="s">
        <v>1062</v>
      </c>
      <c r="Z409" t="s">
        <v>1063</v>
      </c>
      <c r="AA409"/>
      <c r="AB409"/>
      <c r="AC409" t="s">
        <v>49</v>
      </c>
      <c r="AD409"/>
    </row>
    <row r="410">
      <c r="A410" t="s">
        <v>30</v>
      </c>
      <c r="B410" t="s">
        <v>189</v>
      </c>
      <c r="C410" t="s">
        <v>1064</v>
      </c>
      <c r="D410" t="s">
        <v>262</v>
      </c>
      <c r="E410" t="s">
        <v>263</v>
      </c>
      <c r="F410" s="2">
        <v>46274</v>
      </c>
      <c r="G410">
        <v>1</v>
      </c>
      <c r="H410" t="s">
        <v>617</v>
      </c>
      <c r="I410" t="s">
        <v>618</v>
      </c>
      <c r="J410" t="s">
        <v>619</v>
      </c>
      <c r="K410" t="s">
        <v>419</v>
      </c>
      <c r="L410" t="s">
        <v>620</v>
      </c>
      <c r="M410">
        <v>54</v>
      </c>
      <c r="N410">
        <v>54</v>
      </c>
      <c r="O410" t="s">
        <v>84</v>
      </c>
      <c r="P410">
        <v>1</v>
      </c>
      <c r="Q410">
        <f>N410/P410</f>
      </c>
      <c r="R410" s="1">
        <v>1231</v>
      </c>
      <c r="S410" s="1">
        <v>1231</v>
      </c>
      <c r="T410">
        <f>IF(R410=S410,"相符","不相符")</f>
      </c>
      <c r="U410"/>
      <c r="V410">
        <f>P410*R410</f>
      </c>
      <c r="W410">
        <f>Q410*V410</f>
      </c>
      <c r="X410">
        <v>1095</v>
      </c>
      <c r="Y410" t="s">
        <v>1062</v>
      </c>
      <c r="Z410" t="s">
        <v>1063</v>
      </c>
      <c r="AA410"/>
      <c r="AB410"/>
      <c r="AC410" t="s">
        <v>49</v>
      </c>
      <c r="AD410"/>
    </row>
    <row r="411">
      <c r="A411" t="s">
        <v>30</v>
      </c>
      <c r="B411" t="s">
        <v>189</v>
      </c>
      <c r="C411" t="s">
        <v>1064</v>
      </c>
      <c r="D411" t="s">
        <v>262</v>
      </c>
      <c r="E411" t="s">
        <v>263</v>
      </c>
      <c r="F411" s="2">
        <v>46274</v>
      </c>
      <c r="G411">
        <v>2</v>
      </c>
      <c r="H411" t="s">
        <v>1065</v>
      </c>
      <c r="I411" t="s">
        <v>1066</v>
      </c>
      <c r="J411" t="s">
        <v>461</v>
      </c>
      <c r="K411" t="s">
        <v>419</v>
      </c>
      <c r="L411" t="s">
        <v>1067</v>
      </c>
      <c r="M411">
        <v>80</v>
      </c>
      <c r="N411">
        <v>80</v>
      </c>
      <c r="O411" t="s">
        <v>84</v>
      </c>
      <c r="P411">
        <v>1</v>
      </c>
      <c r="Q411">
        <f>N411/P411</f>
      </c>
      <c r="R411" s="1">
        <v>1175</v>
      </c>
      <c r="S411" s="1">
        <v>1175</v>
      </c>
      <c r="T411">
        <f>IF(R411=S411,"相符","不相符")</f>
      </c>
      <c r="U411"/>
      <c r="V411">
        <f>P411*R411</f>
      </c>
      <c r="W411">
        <f>Q411*V411</f>
      </c>
      <c r="X411">
        <v>1095</v>
      </c>
      <c r="Y411" t="s">
        <v>1062</v>
      </c>
      <c r="Z411" t="s">
        <v>1063</v>
      </c>
      <c r="AA411"/>
      <c r="AB411"/>
      <c r="AC411" t="s">
        <v>49</v>
      </c>
      <c r="AD411"/>
    </row>
    <row r="412">
      <c r="A412" t="s">
        <v>30</v>
      </c>
      <c r="B412" t="s">
        <v>189</v>
      </c>
      <c r="C412" t="s">
        <v>1064</v>
      </c>
      <c r="D412" t="s">
        <v>262</v>
      </c>
      <c r="E412" t="s">
        <v>263</v>
      </c>
      <c r="F412" s="2">
        <v>46274</v>
      </c>
      <c r="G412">
        <v>3</v>
      </c>
      <c r="H412" t="s">
        <v>1068</v>
      </c>
      <c r="I412" t="s">
        <v>1069</v>
      </c>
      <c r="J412" t="s">
        <v>666</v>
      </c>
      <c r="K412" t="s">
        <v>419</v>
      </c>
      <c r="L412" t="s">
        <v>1070</v>
      </c>
      <c r="M412">
        <v>156</v>
      </c>
      <c r="N412">
        <v>156</v>
      </c>
      <c r="O412" t="s">
        <v>84</v>
      </c>
      <c r="P412">
        <v>1</v>
      </c>
      <c r="Q412">
        <f>N412/P412</f>
      </c>
      <c r="R412" s="1">
        <v>1175</v>
      </c>
      <c r="S412" s="1">
        <v>1175</v>
      </c>
      <c r="T412">
        <f>IF(R412=S412,"相符","不相符")</f>
      </c>
      <c r="U412"/>
      <c r="V412">
        <f>P412*R412</f>
      </c>
      <c r="W412">
        <f>Q412*V412</f>
      </c>
      <c r="X412">
        <v>1095</v>
      </c>
      <c r="Y412" t="s">
        <v>1062</v>
      </c>
      <c r="Z412" t="s">
        <v>1063</v>
      </c>
      <c r="AA412"/>
      <c r="AB412"/>
      <c r="AC412" t="s">
        <v>49</v>
      </c>
      <c r="AD412"/>
    </row>
    <row r="413">
      <c r="A413" t="s">
        <v>30</v>
      </c>
      <c r="B413" t="s">
        <v>189</v>
      </c>
      <c r="C413" t="s">
        <v>1064</v>
      </c>
      <c r="D413" t="s">
        <v>262</v>
      </c>
      <c r="E413" t="s">
        <v>263</v>
      </c>
      <c r="F413" s="2">
        <v>46274</v>
      </c>
      <c r="G413">
        <v>4</v>
      </c>
      <c r="H413" t="s">
        <v>1071</v>
      </c>
      <c r="I413" t="s">
        <v>1072</v>
      </c>
      <c r="J413" t="s">
        <v>418</v>
      </c>
      <c r="K413" t="s">
        <v>419</v>
      </c>
      <c r="L413" t="s">
        <v>1073</v>
      </c>
      <c r="M413">
        <v>44</v>
      </c>
      <c r="N413">
        <v>44</v>
      </c>
      <c r="O413" t="s">
        <v>84</v>
      </c>
      <c r="P413">
        <v>1</v>
      </c>
      <c r="Q413">
        <f>N413/P413</f>
      </c>
      <c r="R413" s="1">
        <v>1175</v>
      </c>
      <c r="S413" s="1">
        <v>1175</v>
      </c>
      <c r="T413">
        <f>IF(R413=S413,"相符","不相符")</f>
      </c>
      <c r="U413"/>
      <c r="V413">
        <f>P413*R413</f>
      </c>
      <c r="W413">
        <f>Q413*V413</f>
      </c>
      <c r="X413">
        <v>1095</v>
      </c>
      <c r="Y413" t="s">
        <v>1062</v>
      </c>
      <c r="Z413" t="s">
        <v>1063</v>
      </c>
      <c r="AA413"/>
      <c r="AB413"/>
      <c r="AC413" t="s">
        <v>49</v>
      </c>
      <c r="AD413"/>
    </row>
    <row r="414">
      <c r="A414" t="s">
        <v>30</v>
      </c>
      <c r="B414" t="s">
        <v>189</v>
      </c>
      <c r="C414" t="s">
        <v>1064</v>
      </c>
      <c r="D414" t="s">
        <v>262</v>
      </c>
      <c r="E414" t="s">
        <v>263</v>
      </c>
      <c r="F414" s="2">
        <v>46274</v>
      </c>
      <c r="G414">
        <v>5</v>
      </c>
      <c r="H414" t="s">
        <v>1074</v>
      </c>
      <c r="I414" t="s">
        <v>1075</v>
      </c>
      <c r="J414" t="s">
        <v>649</v>
      </c>
      <c r="K414" t="s">
        <v>419</v>
      </c>
      <c r="L414" t="s">
        <v>1076</v>
      </c>
      <c r="M414">
        <v>81</v>
      </c>
      <c r="N414">
        <v>81</v>
      </c>
      <c r="O414" t="s">
        <v>84</v>
      </c>
      <c r="P414">
        <v>1</v>
      </c>
      <c r="Q414">
        <f>N414/P414</f>
      </c>
      <c r="R414" s="1">
        <v>1175</v>
      </c>
      <c r="S414" s="1">
        <v>1175</v>
      </c>
      <c r="T414">
        <f>IF(R414=S414,"相符","不相符")</f>
      </c>
      <c r="U414"/>
      <c r="V414">
        <f>P414*R414</f>
      </c>
      <c r="W414">
        <f>Q414*V414</f>
      </c>
      <c r="X414">
        <v>1095</v>
      </c>
      <c r="Y414" t="s">
        <v>1062</v>
      </c>
      <c r="Z414" t="s">
        <v>1063</v>
      </c>
      <c r="AA414"/>
      <c r="AB414"/>
      <c r="AC414" t="s">
        <v>49</v>
      </c>
      <c r="AD414"/>
    </row>
    <row r="415">
      <c r="A415" t="s">
        <v>30</v>
      </c>
      <c r="B415" t="s">
        <v>31</v>
      </c>
      <c r="C415" t="s">
        <v>1077</v>
      </c>
      <c r="D415" t="s">
        <v>205</v>
      </c>
      <c r="E415" t="s">
        <v>206</v>
      </c>
      <c r="F415" s="2">
        <v>46274</v>
      </c>
      <c r="G415">
        <v>1</v>
      </c>
      <c r="H415" t="s">
        <v>207</v>
      </c>
      <c r="I415" t="s">
        <v>208</v>
      </c>
      <c r="J415" t="s">
        <v>209</v>
      </c>
      <c r="K415" t="s">
        <v>210</v>
      </c>
      <c r="L415" t="s">
        <v>211</v>
      </c>
      <c r="M415">
        <v>4</v>
      </c>
      <c r="N415">
        <v>4</v>
      </c>
      <c r="O415" t="s">
        <v>84</v>
      </c>
      <c r="P415">
        <v>1</v>
      </c>
      <c r="Q415">
        <f>N415/P415</f>
      </c>
      <c r="R415" s="1">
        <v>613</v>
      </c>
      <c r="S415" s="1">
        <v>613</v>
      </c>
      <c r="T415">
        <f>IF(R415=S415,"相符","不相符")</f>
      </c>
      <c r="U415" t="s">
        <v>209</v>
      </c>
      <c r="V415">
        <f>P415*R415</f>
      </c>
      <c r="W415">
        <f>Q415*V415</f>
      </c>
      <c r="X415">
        <v>540</v>
      </c>
      <c r="Y415" t="s">
        <v>971</v>
      </c>
      <c r="Z415" t="s">
        <v>1078</v>
      </c>
      <c r="AA415"/>
      <c r="AB415"/>
      <c r="AC415" t="s">
        <v>43</v>
      </c>
      <c r="AD415"/>
    </row>
    <row r="416">
      <c r="A416" t="s">
        <v>30</v>
      </c>
      <c r="B416" t="s">
        <v>31</v>
      </c>
      <c r="C416" t="s">
        <v>1077</v>
      </c>
      <c r="D416" t="s">
        <v>205</v>
      </c>
      <c r="E416" t="s">
        <v>206</v>
      </c>
      <c r="F416" s="2">
        <v>46274</v>
      </c>
      <c r="G416">
        <v>2</v>
      </c>
      <c r="H416" t="s">
        <v>410</v>
      </c>
      <c r="I416" t="s">
        <v>411</v>
      </c>
      <c r="J416" t="s">
        <v>412</v>
      </c>
      <c r="K416" t="s">
        <v>210</v>
      </c>
      <c r="L416" t="s">
        <v>413</v>
      </c>
      <c r="M416">
        <v>36</v>
      </c>
      <c r="N416">
        <v>36</v>
      </c>
      <c r="O416" t="s">
        <v>84</v>
      </c>
      <c r="P416">
        <v>1</v>
      </c>
      <c r="Q416">
        <f>N416/P416</f>
      </c>
      <c r="R416" s="1">
        <v>960</v>
      </c>
      <c r="S416" s="1">
        <v>960</v>
      </c>
      <c r="T416">
        <f>IF(R416=S416,"相符","不相符")</f>
      </c>
      <c r="U416" t="s">
        <v>414</v>
      </c>
      <c r="V416">
        <f>P416*R416</f>
      </c>
      <c r="W416">
        <f>Q416*V416</f>
      </c>
      <c r="X416">
        <v>730</v>
      </c>
      <c r="Y416" t="s">
        <v>955</v>
      </c>
      <c r="Z416" t="s">
        <v>1078</v>
      </c>
      <c r="AA416"/>
      <c r="AB416"/>
      <c r="AC416" t="s">
        <v>43</v>
      </c>
      <c r="AD416"/>
    </row>
    <row r="417">
      <c r="A417" t="s">
        <v>30</v>
      </c>
      <c r="B417" t="s">
        <v>31</v>
      </c>
      <c r="C417" t="s">
        <v>1077</v>
      </c>
      <c r="D417" t="s">
        <v>205</v>
      </c>
      <c r="E417" t="s">
        <v>206</v>
      </c>
      <c r="F417" s="2">
        <v>46274</v>
      </c>
      <c r="G417">
        <v>3</v>
      </c>
      <c r="H417" t="s">
        <v>1079</v>
      </c>
      <c r="I417" t="s">
        <v>1080</v>
      </c>
      <c r="J417" t="s">
        <v>308</v>
      </c>
      <c r="K417" t="s">
        <v>57</v>
      </c>
      <c r="L417" t="s">
        <v>1081</v>
      </c>
      <c r="M417">
        <v>3</v>
      </c>
      <c r="N417">
        <v>3</v>
      </c>
      <c r="O417" t="s">
        <v>84</v>
      </c>
      <c r="P417">
        <v>1</v>
      </c>
      <c r="Q417">
        <f>N417/P417</f>
      </c>
      <c r="R417" s="1">
        <v>894</v>
      </c>
      <c r="S417" s="1">
        <v>774</v>
      </c>
      <c r="T417">
        <f>IF(R417=S417,"相符","不相符")</f>
      </c>
      <c r="U417" t="s">
        <v>310</v>
      </c>
      <c r="V417">
        <f>P417*R417</f>
      </c>
      <c r="W417">
        <f>Q417*V417</f>
      </c>
      <c r="X417">
        <v>540</v>
      </c>
      <c r="Y417" t="s">
        <v>1034</v>
      </c>
      <c r="Z417" t="s">
        <v>1078</v>
      </c>
      <c r="AA417"/>
      <c r="AB417"/>
      <c r="AC417" t="s">
        <v>43</v>
      </c>
      <c r="AD417"/>
    </row>
    <row r="418">
      <c r="A418" t="s">
        <v>30</v>
      </c>
      <c r="B418" t="s">
        <v>31</v>
      </c>
      <c r="C418" t="s">
        <v>1082</v>
      </c>
      <c r="D418" t="s">
        <v>478</v>
      </c>
      <c r="E418" t="s">
        <v>479</v>
      </c>
      <c r="F418" s="2">
        <v>46274</v>
      </c>
      <c r="G418">
        <v>1</v>
      </c>
      <c r="H418" t="s">
        <v>139</v>
      </c>
      <c r="I418" t="s">
        <v>140</v>
      </c>
      <c r="J418" t="s">
        <v>141</v>
      </c>
      <c r="K418" t="s">
        <v>57</v>
      </c>
      <c r="L418" t="s">
        <v>142</v>
      </c>
      <c r="M418">
        <v>30</v>
      </c>
      <c r="N418">
        <v>30</v>
      </c>
      <c r="O418" t="s">
        <v>40</v>
      </c>
      <c r="P418">
        <v>6</v>
      </c>
      <c r="Q418">
        <f>N418/P418</f>
      </c>
      <c r="R418" s="1">
        <v>129</v>
      </c>
      <c r="S418" s="1">
        <v>129</v>
      </c>
      <c r="T418">
        <f>IF(R418=S418,"相符","不相符")</f>
      </c>
      <c r="U418" t="s">
        <v>141</v>
      </c>
      <c r="V418">
        <f>P418*R418</f>
      </c>
      <c r="W418">
        <f>Q418*V418</f>
      </c>
      <c r="X418">
        <v>540</v>
      </c>
      <c r="Y418" t="s">
        <v>971</v>
      </c>
      <c r="Z418" t="s">
        <v>1078</v>
      </c>
      <c r="AA418"/>
      <c r="AB418"/>
      <c r="AC418" t="s">
        <v>43</v>
      </c>
      <c r="AD418"/>
    </row>
    <row r="419">
      <c r="A419" t="s">
        <v>30</v>
      </c>
      <c r="B419" t="s">
        <v>31</v>
      </c>
      <c r="C419" t="s">
        <v>1082</v>
      </c>
      <c r="D419" t="s">
        <v>478</v>
      </c>
      <c r="E419" t="s">
        <v>479</v>
      </c>
      <c r="F419" s="2">
        <v>46274</v>
      </c>
      <c r="G419">
        <v>2</v>
      </c>
      <c r="H419" t="s">
        <v>1083</v>
      </c>
      <c r="I419" t="s">
        <v>1084</v>
      </c>
      <c r="J419" t="s">
        <v>1085</v>
      </c>
      <c r="K419" t="s">
        <v>82</v>
      </c>
      <c r="L419" t="s">
        <v>1086</v>
      </c>
      <c r="M419">
        <v>56</v>
      </c>
      <c r="N419">
        <v>56</v>
      </c>
      <c r="O419" t="s">
        <v>40</v>
      </c>
      <c r="P419">
        <v>8</v>
      </c>
      <c r="Q419">
        <f>N419/P419</f>
      </c>
      <c r="R419" s="1">
        <v>220</v>
      </c>
      <c r="S419" s="1">
        <v>220</v>
      </c>
      <c r="T419">
        <f>IF(R419=S419,"相符","不相符")</f>
      </c>
      <c r="U419" t="s">
        <v>1085</v>
      </c>
      <c r="V419">
        <f>P419*R419</f>
      </c>
      <c r="W419">
        <f>Q419*V419</f>
      </c>
      <c r="X419">
        <v>730</v>
      </c>
      <c r="Y419" t="s">
        <v>989</v>
      </c>
      <c r="Z419" t="s">
        <v>1078</v>
      </c>
      <c r="AA419"/>
      <c r="AB419"/>
      <c r="AC419" t="s">
        <v>49</v>
      </c>
      <c r="AD419"/>
    </row>
    <row r="420">
      <c r="A420" t="s">
        <v>30</v>
      </c>
      <c r="B420" t="s">
        <v>31</v>
      </c>
      <c r="C420" t="s">
        <v>1082</v>
      </c>
      <c r="D420" t="s">
        <v>478</v>
      </c>
      <c r="E420" t="s">
        <v>479</v>
      </c>
      <c r="F420" s="2">
        <v>46274</v>
      </c>
      <c r="G420">
        <v>3</v>
      </c>
      <c r="H420" t="s">
        <v>398</v>
      </c>
      <c r="I420" t="s">
        <v>399</v>
      </c>
      <c r="J420" t="s">
        <v>400</v>
      </c>
      <c r="K420" t="s">
        <v>69</v>
      </c>
      <c r="L420" t="s">
        <v>401</v>
      </c>
      <c r="M420">
        <v>76</v>
      </c>
      <c r="N420">
        <v>76</v>
      </c>
      <c r="O420" t="s">
        <v>40</v>
      </c>
      <c r="P420">
        <v>4</v>
      </c>
      <c r="Q420">
        <f>N420/P420</f>
      </c>
      <c r="R420" s="1">
        <v>739</v>
      </c>
      <c r="S420" s="1">
        <v>739</v>
      </c>
      <c r="T420">
        <f>IF(R420=S420,"相符","不相符")</f>
      </c>
      <c r="U420" t="s">
        <v>400</v>
      </c>
      <c r="V420">
        <f>P420*R420</f>
      </c>
      <c r="W420">
        <f>Q420*V420</f>
      </c>
      <c r="X420">
        <v>540</v>
      </c>
      <c r="Y420" t="s">
        <v>971</v>
      </c>
      <c r="Z420" t="s">
        <v>1078</v>
      </c>
      <c r="AA420"/>
      <c r="AB420"/>
      <c r="AC420" t="s">
        <v>43</v>
      </c>
      <c r="AD420"/>
    </row>
    <row r="421">
      <c r="A421" t="s">
        <v>30</v>
      </c>
      <c r="B421" t="s">
        <v>31</v>
      </c>
      <c r="C421" t="s">
        <v>1082</v>
      </c>
      <c r="D421" t="s">
        <v>478</v>
      </c>
      <c r="E421" t="s">
        <v>479</v>
      </c>
      <c r="F421" s="2">
        <v>46274</v>
      </c>
      <c r="G421">
        <v>4</v>
      </c>
      <c r="H421" t="s">
        <v>1087</v>
      </c>
      <c r="I421" t="s">
        <v>1088</v>
      </c>
      <c r="J421" t="s">
        <v>1089</v>
      </c>
      <c r="K421" t="s">
        <v>82</v>
      </c>
      <c r="L421" t="s">
        <v>1090</v>
      </c>
      <c r="M421">
        <v>269</v>
      </c>
      <c r="N421">
        <v>208</v>
      </c>
      <c r="O421" t="s">
        <v>40</v>
      </c>
      <c r="P421">
        <v>16</v>
      </c>
      <c r="Q421">
        <f>N421/P421</f>
      </c>
      <c r="R421" s="1">
        <v>443</v>
      </c>
      <c r="S421" s="1">
        <v>443</v>
      </c>
      <c r="T421">
        <f>IF(R421=S421,"相符","不相符")</f>
      </c>
      <c r="U421" t="s">
        <v>1089</v>
      </c>
      <c r="V421">
        <f>P421*R421</f>
      </c>
      <c r="W421">
        <f>Q421*V421</f>
      </c>
      <c r="X421">
        <v>730</v>
      </c>
      <c r="Y421" t="s">
        <v>955</v>
      </c>
      <c r="Z421" t="s">
        <v>1078</v>
      </c>
      <c r="AA421"/>
      <c r="AB421"/>
      <c r="AC421" t="s">
        <v>49</v>
      </c>
      <c r="AD421"/>
    </row>
    <row r="422">
      <c r="A422" t="s">
        <v>30</v>
      </c>
      <c r="B422" t="s">
        <v>31</v>
      </c>
      <c r="C422" t="s">
        <v>1091</v>
      </c>
      <c r="D422" t="s">
        <v>205</v>
      </c>
      <c r="E422" t="s">
        <v>206</v>
      </c>
      <c r="F422" s="2">
        <v>46274</v>
      </c>
      <c r="G422">
        <v>1</v>
      </c>
      <c r="H422" t="s">
        <v>410</v>
      </c>
      <c r="I422" t="s">
        <v>411</v>
      </c>
      <c r="J422" t="s">
        <v>412</v>
      </c>
      <c r="K422" t="s">
        <v>210</v>
      </c>
      <c r="L422" t="s">
        <v>413</v>
      </c>
      <c r="M422">
        <v>2</v>
      </c>
      <c r="N422">
        <v>2</v>
      </c>
      <c r="O422" t="s">
        <v>84</v>
      </c>
      <c r="P422">
        <v>1</v>
      </c>
      <c r="Q422">
        <f>N422/P422</f>
      </c>
      <c r="R422" s="1">
        <v>960</v>
      </c>
      <c r="S422" s="1">
        <v>960</v>
      </c>
      <c r="T422">
        <f>IF(R422=S422,"相符","不相符")</f>
      </c>
      <c r="U422" t="s">
        <v>414</v>
      </c>
      <c r="V422">
        <f>P422*R422</f>
      </c>
      <c r="W422">
        <f>Q422*V422</f>
      </c>
      <c r="X422">
        <v>730</v>
      </c>
      <c r="Y422" t="s">
        <v>955</v>
      </c>
      <c r="Z422" t="s">
        <v>485</v>
      </c>
      <c r="AA422"/>
      <c r="AB422"/>
      <c r="AC422" t="s">
        <v>43</v>
      </c>
      <c r="AD422"/>
    </row>
    <row r="423">
      <c r="A423" t="s">
        <v>30</v>
      </c>
      <c r="B423" t="s">
        <v>31</v>
      </c>
      <c r="C423" t="s">
        <v>1092</v>
      </c>
      <c r="D423" t="s">
        <v>478</v>
      </c>
      <c r="E423" t="s">
        <v>479</v>
      </c>
      <c r="F423" s="2">
        <v>46274</v>
      </c>
      <c r="G423">
        <v>1</v>
      </c>
      <c r="H423" t="s">
        <v>546</v>
      </c>
      <c r="I423" t="s">
        <v>547</v>
      </c>
      <c r="J423" t="s">
        <v>548</v>
      </c>
      <c r="K423" t="s">
        <v>121</v>
      </c>
      <c r="L423" t="s">
        <v>549</v>
      </c>
      <c r="M423">
        <v>6</v>
      </c>
      <c r="N423">
        <v>6</v>
      </c>
      <c r="O423" t="s">
        <v>40</v>
      </c>
      <c r="P423">
        <v>6</v>
      </c>
      <c r="Q423">
        <f>N423/P423</f>
      </c>
      <c r="R423" s="1">
        <v>511</v>
      </c>
      <c r="S423" s="1">
        <v>511</v>
      </c>
      <c r="T423">
        <f>IF(R423=S423,"相符","不相符")</f>
      </c>
      <c r="U423" t="s">
        <v>550</v>
      </c>
      <c r="V423">
        <f>P423*R423</f>
      </c>
      <c r="W423">
        <f>Q423*V423</f>
      </c>
      <c r="X423">
        <v>365</v>
      </c>
      <c r="Y423" t="s">
        <v>1004</v>
      </c>
      <c r="Z423" t="s">
        <v>485</v>
      </c>
      <c r="AA423"/>
      <c r="AB423"/>
      <c r="AC423" t="s">
        <v>43</v>
      </c>
      <c r="AD423"/>
    </row>
    <row r="424">
      <c r="A424" t="s">
        <v>30</v>
      </c>
      <c r="B424" t="s">
        <v>31</v>
      </c>
      <c r="C424" t="s">
        <v>1093</v>
      </c>
      <c r="D424" t="s">
        <v>33</v>
      </c>
      <c r="E424" t="s">
        <v>34</v>
      </c>
      <c r="F424" s="2">
        <v>46274</v>
      </c>
      <c r="G424">
        <v>1</v>
      </c>
      <c r="H424" t="s">
        <v>1083</v>
      </c>
      <c r="I424" t="s">
        <v>1084</v>
      </c>
      <c r="J424" t="s">
        <v>1085</v>
      </c>
      <c r="K424" t="s">
        <v>82</v>
      </c>
      <c r="L424" t="s">
        <v>1086</v>
      </c>
      <c r="M424">
        <v>8</v>
      </c>
      <c r="N424">
        <v>8</v>
      </c>
      <c r="O424" t="s">
        <v>40</v>
      </c>
      <c r="P424">
        <v>8</v>
      </c>
      <c r="Q424">
        <f>N424/P424</f>
      </c>
      <c r="R424" s="1">
        <v>220</v>
      </c>
      <c r="S424" s="1">
        <v>220</v>
      </c>
      <c r="T424">
        <f>IF(R424=S424,"相符","不相符")</f>
      </c>
      <c r="U424" t="s">
        <v>1085</v>
      </c>
      <c r="V424">
        <f>P424*R424</f>
      </c>
      <c r="W424">
        <f>Q424*V424</f>
      </c>
      <c r="X424">
        <v>730</v>
      </c>
      <c r="Y424" t="s">
        <v>989</v>
      </c>
      <c r="Z424" t="s">
        <v>485</v>
      </c>
      <c r="AA424"/>
      <c r="AB424"/>
      <c r="AC424" t="s">
        <v>49</v>
      </c>
      <c r="AD424"/>
    </row>
    <row r="425">
      <c r="A425" t="s">
        <v>30</v>
      </c>
      <c r="B425" t="s">
        <v>31</v>
      </c>
      <c r="C425" t="s">
        <v>1093</v>
      </c>
      <c r="D425" t="s">
        <v>33</v>
      </c>
      <c r="E425" t="s">
        <v>34</v>
      </c>
      <c r="F425" s="2">
        <v>46274</v>
      </c>
      <c r="G425">
        <v>2</v>
      </c>
      <c r="H425" t="s">
        <v>978</v>
      </c>
      <c r="I425" t="s">
        <v>979</v>
      </c>
      <c r="J425" t="s">
        <v>980</v>
      </c>
      <c r="K425" t="s">
        <v>69</v>
      </c>
      <c r="L425" t="s">
        <v>981</v>
      </c>
      <c r="M425">
        <v>8</v>
      </c>
      <c r="N425">
        <v>8</v>
      </c>
      <c r="O425" t="s">
        <v>40</v>
      </c>
      <c r="P425">
        <v>4</v>
      </c>
      <c r="Q425">
        <f>N425/P425</f>
      </c>
      <c r="R425" s="1">
        <v>731</v>
      </c>
      <c r="S425" s="1">
        <v>731</v>
      </c>
      <c r="T425">
        <f>IF(R425=S425,"相符","不相符")</f>
      </c>
      <c r="U425" t="s">
        <v>980</v>
      </c>
      <c r="V425">
        <f>P425*R425</f>
      </c>
      <c r="W425">
        <f>Q425*V425</f>
      </c>
      <c r="X425">
        <v>540</v>
      </c>
      <c r="Y425" t="s">
        <v>982</v>
      </c>
      <c r="Z425" t="s">
        <v>485</v>
      </c>
      <c r="AA425"/>
      <c r="AB425"/>
      <c r="AC425" t="s">
        <v>43</v>
      </c>
      <c r="AD425"/>
    </row>
    <row r="426">
      <c r="A426" t="s">
        <v>30</v>
      </c>
      <c r="B426" t="s">
        <v>254</v>
      </c>
      <c r="C426" t="s">
        <v>1094</v>
      </c>
      <c r="D426" t="s">
        <v>262</v>
      </c>
      <c r="E426" t="s">
        <v>263</v>
      </c>
      <c r="F426" s="2">
        <v>46274</v>
      </c>
      <c r="G426">
        <v>1</v>
      </c>
      <c r="H426" t="s">
        <v>583</v>
      </c>
      <c r="I426" t="s">
        <v>584</v>
      </c>
      <c r="J426" t="s">
        <v>585</v>
      </c>
      <c r="K426" t="s">
        <v>491</v>
      </c>
      <c r="L426" t="s">
        <v>586</v>
      </c>
      <c r="M426">
        <v>96</v>
      </c>
      <c r="N426">
        <v>96</v>
      </c>
      <c r="O426" t="s">
        <v>84</v>
      </c>
      <c r="P426">
        <v>1</v>
      </c>
      <c r="Q426">
        <f>N426/P426</f>
      </c>
      <c r="R426" s="1">
        <v>569</v>
      </c>
      <c r="S426" s="1">
        <v>569</v>
      </c>
      <c r="T426">
        <f>IF(R426=S426,"相符","不相符")</f>
      </c>
      <c r="U426"/>
      <c r="V426">
        <f>P426*R426</f>
      </c>
      <c r="W426">
        <f>Q426*V426</f>
      </c>
      <c r="X426">
        <v>1825</v>
      </c>
      <c r="Y426" t="s">
        <v>991</v>
      </c>
      <c r="Z426" t="s">
        <v>42</v>
      </c>
      <c r="AA426"/>
      <c r="AB426"/>
      <c r="AC426" t="s">
        <v>243</v>
      </c>
      <c r="AD426"/>
    </row>
    <row r="427">
      <c r="A427" t="s">
        <v>30</v>
      </c>
      <c r="B427" t="s">
        <v>254</v>
      </c>
      <c r="C427" t="s">
        <v>1094</v>
      </c>
      <c r="D427" t="s">
        <v>262</v>
      </c>
      <c r="E427" t="s">
        <v>263</v>
      </c>
      <c r="F427" s="2">
        <v>46274</v>
      </c>
      <c r="G427">
        <v>2</v>
      </c>
      <c r="H427" t="s">
        <v>587</v>
      </c>
      <c r="I427" t="s">
        <v>588</v>
      </c>
      <c r="J427" t="s">
        <v>589</v>
      </c>
      <c r="K427" t="s">
        <v>491</v>
      </c>
      <c r="L427" t="s">
        <v>590</v>
      </c>
      <c r="M427">
        <v>20</v>
      </c>
      <c r="N427">
        <v>20</v>
      </c>
      <c r="O427" t="s">
        <v>84</v>
      </c>
      <c r="P427">
        <v>1</v>
      </c>
      <c r="Q427">
        <f>N427/P427</f>
      </c>
      <c r="R427" s="1">
        <v>992</v>
      </c>
      <c r="S427" s="1">
        <v>992</v>
      </c>
      <c r="T427">
        <f>IF(R427=S427,"相符","不相符")</f>
      </c>
      <c r="U427" t="s">
        <v>578</v>
      </c>
      <c r="V427">
        <f>P427*R427</f>
      </c>
      <c r="W427">
        <f>Q427*V427</f>
      </c>
      <c r="X427">
        <v>1825</v>
      </c>
      <c r="Y427" t="s">
        <v>991</v>
      </c>
      <c r="Z427" t="s">
        <v>42</v>
      </c>
      <c r="AA427"/>
      <c r="AB427"/>
      <c r="AC427" t="s">
        <v>243</v>
      </c>
      <c r="AD427"/>
    </row>
    <row r="428">
      <c r="A428" t="s">
        <v>30</v>
      </c>
      <c r="B428" t="s">
        <v>31</v>
      </c>
      <c r="C428" t="s">
        <v>1095</v>
      </c>
      <c r="D428" t="s">
        <v>478</v>
      </c>
      <c r="E428" t="s">
        <v>479</v>
      </c>
      <c r="F428" s="2">
        <v>46274</v>
      </c>
      <c r="G428">
        <v>1</v>
      </c>
      <c r="H428" t="s">
        <v>143</v>
      </c>
      <c r="I428" t="s">
        <v>144</v>
      </c>
      <c r="J428" t="s">
        <v>145</v>
      </c>
      <c r="K428" t="s">
        <v>57</v>
      </c>
      <c r="L428" t="s">
        <v>146</v>
      </c>
      <c r="M428">
        <v>82</v>
      </c>
      <c r="N428">
        <v>78</v>
      </c>
      <c r="O428" t="s">
        <v>40</v>
      </c>
      <c r="P428">
        <v>6</v>
      </c>
      <c r="Q428">
        <f>N428/P428</f>
      </c>
      <c r="R428" s="1">
        <v>129</v>
      </c>
      <c r="S428" s="1">
        <v>129</v>
      </c>
      <c r="T428">
        <f>IF(R428=S428,"相符","不相符")</f>
      </c>
      <c r="U428" t="s">
        <v>145</v>
      </c>
      <c r="V428">
        <f>P428*R428</f>
      </c>
      <c r="W428">
        <f>Q428*V428</f>
      </c>
      <c r="X428">
        <v>540</v>
      </c>
      <c r="Y428" t="s">
        <v>1034</v>
      </c>
      <c r="Z428" t="s">
        <v>42</v>
      </c>
      <c r="AA428"/>
      <c r="AB428"/>
      <c r="AC428" t="s">
        <v>43</v>
      </c>
      <c r="AD428"/>
    </row>
    <row r="429">
      <c r="A429" t="s">
        <v>30</v>
      </c>
      <c r="B429" t="s">
        <v>31</v>
      </c>
      <c r="C429" t="s">
        <v>1095</v>
      </c>
      <c r="D429" t="s">
        <v>478</v>
      </c>
      <c r="E429" t="s">
        <v>479</v>
      </c>
      <c r="F429" s="2">
        <v>46274</v>
      </c>
      <c r="G429">
        <v>2</v>
      </c>
      <c r="H429" t="s">
        <v>972</v>
      </c>
      <c r="I429" t="s">
        <v>973</v>
      </c>
      <c r="J429" t="s">
        <v>974</v>
      </c>
      <c r="K429" t="s">
        <v>69</v>
      </c>
      <c r="L429" t="s">
        <v>975</v>
      </c>
      <c r="M429">
        <v>40</v>
      </c>
      <c r="N429">
        <v>40</v>
      </c>
      <c r="O429" t="s">
        <v>40</v>
      </c>
      <c r="P429">
        <v>4</v>
      </c>
      <c r="Q429">
        <f>N429/P429</f>
      </c>
      <c r="R429" s="1">
        <v>731</v>
      </c>
      <c r="S429" s="1">
        <v>731</v>
      </c>
      <c r="T429">
        <f>IF(R429=S429,"相符","不相符")</f>
      </c>
      <c r="U429" t="s">
        <v>976</v>
      </c>
      <c r="V429">
        <f>P429*R429</f>
      </c>
      <c r="W429">
        <f>Q429*V429</f>
      </c>
      <c r="X429">
        <v>540</v>
      </c>
      <c r="Y429" t="s">
        <v>971</v>
      </c>
      <c r="Z429" t="s">
        <v>42</v>
      </c>
      <c r="AA429"/>
      <c r="AB429"/>
      <c r="AC429" t="s">
        <v>43</v>
      </c>
      <c r="AD429"/>
    </row>
    <row r="430">
      <c r="A430" t="s">
        <v>30</v>
      </c>
      <c r="B430" t="s">
        <v>31</v>
      </c>
      <c r="C430" t="s">
        <v>1095</v>
      </c>
      <c r="D430" t="s">
        <v>478</v>
      </c>
      <c r="E430" t="s">
        <v>479</v>
      </c>
      <c r="F430" s="2">
        <v>46274</v>
      </c>
      <c r="G430">
        <v>3</v>
      </c>
      <c r="H430" t="s">
        <v>184</v>
      </c>
      <c r="I430" t="s">
        <v>185</v>
      </c>
      <c r="J430" t="s">
        <v>186</v>
      </c>
      <c r="K430" t="s">
        <v>69</v>
      </c>
      <c r="L430" t="s">
        <v>187</v>
      </c>
      <c r="M430">
        <v>40</v>
      </c>
      <c r="N430">
        <v>40</v>
      </c>
      <c r="O430" t="s">
        <v>177</v>
      </c>
      <c r="P430">
        <v>40</v>
      </c>
      <c r="Q430">
        <f>N430/P430</f>
      </c>
      <c r="R430" s="1">
        <v>118.2</v>
      </c>
      <c r="S430" s="1">
        <v>118</v>
      </c>
      <c r="T430">
        <f>IF(R430=S430,"相符","不相符")</f>
      </c>
      <c r="U430" t="s">
        <v>186</v>
      </c>
      <c r="V430">
        <f>P430*R430</f>
      </c>
      <c r="W430">
        <f>Q430*V430</f>
      </c>
      <c r="X430">
        <v>540</v>
      </c>
      <c r="Y430" t="s">
        <v>982</v>
      </c>
      <c r="Z430" t="s">
        <v>42</v>
      </c>
      <c r="AA430"/>
      <c r="AB430"/>
      <c r="AC430" t="s">
        <v>43</v>
      </c>
      <c r="AD430"/>
    </row>
    <row r="431">
      <c r="A431" t="s">
        <v>30</v>
      </c>
      <c r="B431" t="s">
        <v>31</v>
      </c>
      <c r="C431" t="s">
        <v>1096</v>
      </c>
      <c r="D431" t="s">
        <v>478</v>
      </c>
      <c r="E431" t="s">
        <v>479</v>
      </c>
      <c r="F431" s="2">
        <v>46274</v>
      </c>
      <c r="G431">
        <v>1</v>
      </c>
      <c r="H431" t="s">
        <v>398</v>
      </c>
      <c r="I431" t="s">
        <v>399</v>
      </c>
      <c r="J431" t="s">
        <v>400</v>
      </c>
      <c r="K431" t="s">
        <v>69</v>
      </c>
      <c r="L431" t="s">
        <v>401</v>
      </c>
      <c r="M431">
        <v>36</v>
      </c>
      <c r="N431">
        <v>36</v>
      </c>
      <c r="O431" t="s">
        <v>40</v>
      </c>
      <c r="P431">
        <v>4</v>
      </c>
      <c r="Q431">
        <f>N431/P431</f>
      </c>
      <c r="R431" s="1">
        <v>739</v>
      </c>
      <c r="S431" s="1">
        <v>739</v>
      </c>
      <c r="T431">
        <f>IF(R431=S431,"相符","不相符")</f>
      </c>
      <c r="U431" t="s">
        <v>400</v>
      </c>
      <c r="V431">
        <f>P431*R431</f>
      </c>
      <c r="W431">
        <f>Q431*V431</f>
      </c>
      <c r="X431">
        <v>540</v>
      </c>
      <c r="Y431" t="s">
        <v>971</v>
      </c>
      <c r="Z431" t="s">
        <v>42</v>
      </c>
      <c r="AA431"/>
      <c r="AB431"/>
      <c r="AC431" t="s">
        <v>43</v>
      </c>
      <c r="AD431"/>
    </row>
    <row r="432">
      <c r="A432" t="s">
        <v>30</v>
      </c>
      <c r="B432" t="s">
        <v>31</v>
      </c>
      <c r="C432" t="s">
        <v>1096</v>
      </c>
      <c r="D432" t="s">
        <v>478</v>
      </c>
      <c r="E432" t="s">
        <v>479</v>
      </c>
      <c r="F432" s="2">
        <v>46274</v>
      </c>
      <c r="G432">
        <v>2</v>
      </c>
      <c r="H432" t="s">
        <v>983</v>
      </c>
      <c r="I432" t="s">
        <v>984</v>
      </c>
      <c r="J432" t="s">
        <v>985</v>
      </c>
      <c r="K432" t="s">
        <v>38</v>
      </c>
      <c r="L432" t="s">
        <v>986</v>
      </c>
      <c r="M432">
        <v>360</v>
      </c>
      <c r="N432">
        <v>360</v>
      </c>
      <c r="O432" t="s">
        <v>177</v>
      </c>
      <c r="P432">
        <v>12</v>
      </c>
      <c r="Q432">
        <f>N432/P432</f>
      </c>
      <c r="R432" s="1">
        <v>141.33</v>
      </c>
      <c r="S432" s="1">
        <v>141.16</v>
      </c>
      <c r="T432">
        <f>IF(R432=S432,"相符","不相符")</f>
      </c>
      <c r="U432" t="s">
        <v>985</v>
      </c>
      <c r="V432">
        <f>P432*R432</f>
      </c>
      <c r="W432">
        <f>Q432*V432</f>
      </c>
      <c r="X432">
        <v>730</v>
      </c>
      <c r="Y432" t="s">
        <v>987</v>
      </c>
      <c r="Z432" t="s">
        <v>42</v>
      </c>
      <c r="AA432"/>
      <c r="AB432"/>
      <c r="AC432" t="s">
        <v>43</v>
      </c>
      <c r="AD432"/>
    </row>
    <row r="433">
      <c r="A433" t="s">
        <v>30</v>
      </c>
      <c r="B433" t="s">
        <v>31</v>
      </c>
      <c r="C433" t="s">
        <v>1097</v>
      </c>
      <c r="D433" t="s">
        <v>33</v>
      </c>
      <c r="E433" t="s">
        <v>34</v>
      </c>
      <c r="F433" s="2">
        <v>46274</v>
      </c>
      <c r="G433">
        <v>1</v>
      </c>
      <c r="H433" t="s">
        <v>1098</v>
      </c>
      <c r="I433" t="s">
        <v>1099</v>
      </c>
      <c r="J433" t="s">
        <v>1100</v>
      </c>
      <c r="K433" t="s">
        <v>75</v>
      </c>
      <c r="L433" t="s">
        <v>1101</v>
      </c>
      <c r="M433">
        <v>288</v>
      </c>
      <c r="N433">
        <v>288</v>
      </c>
      <c r="O433" t="s">
        <v>40</v>
      </c>
      <c r="P433">
        <v>12</v>
      </c>
      <c r="Q433">
        <f>N433/P433</f>
      </c>
      <c r="R433" s="1">
        <v>244</v>
      </c>
      <c r="S433" s="1">
        <v>244</v>
      </c>
      <c r="T433">
        <f>IF(R433=S433,"相符","不相符")</f>
      </c>
      <c r="U433" t="s">
        <v>1100</v>
      </c>
      <c r="V433">
        <f>P433*R433</f>
      </c>
      <c r="W433">
        <f>Q433*V433</f>
      </c>
      <c r="X433">
        <v>456</v>
      </c>
      <c r="Y433" t="s">
        <v>971</v>
      </c>
      <c r="Z433" t="s">
        <v>42</v>
      </c>
      <c r="AA433"/>
      <c r="AB433"/>
      <c r="AC433" t="s">
        <v>43</v>
      </c>
      <c r="AD433"/>
    </row>
    <row r="434">
      <c r="A434" t="s">
        <v>30</v>
      </c>
      <c r="B434" t="s">
        <v>31</v>
      </c>
      <c r="C434" t="s">
        <v>1102</v>
      </c>
      <c r="D434" t="s">
        <v>33</v>
      </c>
      <c r="E434" t="s">
        <v>34</v>
      </c>
      <c r="F434" s="2">
        <v>46274</v>
      </c>
      <c r="G434">
        <v>1</v>
      </c>
      <c r="H434" t="s">
        <v>125</v>
      </c>
      <c r="I434" t="s">
        <v>126</v>
      </c>
      <c r="J434" t="s">
        <v>127</v>
      </c>
      <c r="K434" t="s">
        <v>57</v>
      </c>
      <c r="L434" t="s">
        <v>128</v>
      </c>
      <c r="M434">
        <v>42</v>
      </c>
      <c r="N434">
        <v>42</v>
      </c>
      <c r="O434" t="s">
        <v>40</v>
      </c>
      <c r="P434">
        <v>6</v>
      </c>
      <c r="Q434">
        <f>N434/P434</f>
      </c>
      <c r="R434" s="1">
        <v>129</v>
      </c>
      <c r="S434" s="1">
        <v>129</v>
      </c>
      <c r="T434">
        <f>IF(R434=S434,"相符","不相符")</f>
      </c>
      <c r="U434" t="s">
        <v>127</v>
      </c>
      <c r="V434">
        <f>P434*R434</f>
      </c>
      <c r="W434">
        <f>Q434*V434</f>
      </c>
      <c r="X434">
        <v>540</v>
      </c>
      <c r="Y434" t="s">
        <v>971</v>
      </c>
      <c r="Z434" t="s">
        <v>1103</v>
      </c>
      <c r="AA434"/>
      <c r="AB434"/>
      <c r="AC434" t="s">
        <v>43</v>
      </c>
      <c r="AD434"/>
    </row>
    <row r="435">
      <c r="A435" t="s">
        <v>30</v>
      </c>
      <c r="B435" t="s">
        <v>31</v>
      </c>
      <c r="C435" t="s">
        <v>1102</v>
      </c>
      <c r="D435" t="s">
        <v>33</v>
      </c>
      <c r="E435" t="s">
        <v>34</v>
      </c>
      <c r="F435" s="2">
        <v>46274</v>
      </c>
      <c r="G435">
        <v>2</v>
      </c>
      <c r="H435" t="s">
        <v>50</v>
      </c>
      <c r="I435" t="s">
        <v>51</v>
      </c>
      <c r="J435" t="s">
        <v>52</v>
      </c>
      <c r="K435" t="s">
        <v>38</v>
      </c>
      <c r="L435" t="s">
        <v>53</v>
      </c>
      <c r="M435">
        <v>130</v>
      </c>
      <c r="N435">
        <v>128</v>
      </c>
      <c r="O435" t="s">
        <v>40</v>
      </c>
      <c r="P435">
        <v>4</v>
      </c>
      <c r="Q435">
        <f>N435/P435</f>
      </c>
      <c r="R435" s="1">
        <v>555</v>
      </c>
      <c r="S435" s="1">
        <v>555</v>
      </c>
      <c r="T435">
        <f>IF(R435=S435,"相符","不相符")</f>
      </c>
      <c r="U435" t="s">
        <v>52</v>
      </c>
      <c r="V435">
        <f>P435*R435</f>
      </c>
      <c r="W435">
        <f>Q435*V435</f>
      </c>
      <c r="X435">
        <v>730</v>
      </c>
      <c r="Y435" t="s">
        <v>955</v>
      </c>
      <c r="Z435" t="s">
        <v>1103</v>
      </c>
      <c r="AA435"/>
      <c r="AB435"/>
      <c r="AC435" t="s">
        <v>43</v>
      </c>
      <c r="AD435"/>
    </row>
    <row r="436">
      <c r="A436" t="s">
        <v>30</v>
      </c>
      <c r="B436" t="s">
        <v>31</v>
      </c>
      <c r="C436" t="s">
        <v>1102</v>
      </c>
      <c r="D436" t="s">
        <v>33</v>
      </c>
      <c r="E436" t="s">
        <v>34</v>
      </c>
      <c r="F436" s="2">
        <v>46274</v>
      </c>
      <c r="G436">
        <v>3</v>
      </c>
      <c r="H436" t="s">
        <v>1104</v>
      </c>
      <c r="I436" t="s">
        <v>1105</v>
      </c>
      <c r="J436" t="s">
        <v>1106</v>
      </c>
      <c r="K436" t="s">
        <v>69</v>
      </c>
      <c r="L436" t="s">
        <v>1107</v>
      </c>
      <c r="M436">
        <v>44</v>
      </c>
      <c r="N436">
        <v>44</v>
      </c>
      <c r="O436" t="s">
        <v>40</v>
      </c>
      <c r="P436">
        <v>4</v>
      </c>
      <c r="Q436">
        <f>N436/P436</f>
      </c>
      <c r="R436" s="1">
        <v>731</v>
      </c>
      <c r="S436" s="1">
        <v>731</v>
      </c>
      <c r="T436">
        <f>IF(R436=S436,"相符","不相符")</f>
      </c>
      <c r="U436" t="s">
        <v>1106</v>
      </c>
      <c r="V436">
        <f>P436*R436</f>
      </c>
      <c r="W436">
        <f>Q436*V436</f>
      </c>
      <c r="X436">
        <v>540</v>
      </c>
      <c r="Y436" t="s">
        <v>982</v>
      </c>
      <c r="Z436" t="s">
        <v>1103</v>
      </c>
      <c r="AA436"/>
      <c r="AB436"/>
      <c r="AC436" t="s">
        <v>43</v>
      </c>
      <c r="AD436"/>
    </row>
    <row r="437">
      <c r="A437" t="s">
        <v>30</v>
      </c>
      <c r="B437" t="s">
        <v>31</v>
      </c>
      <c r="C437" t="s">
        <v>1102</v>
      </c>
      <c r="D437" t="s">
        <v>33</v>
      </c>
      <c r="E437" t="s">
        <v>34</v>
      </c>
      <c r="F437" s="2">
        <v>46274</v>
      </c>
      <c r="G437">
        <v>4</v>
      </c>
      <c r="H437" t="s">
        <v>398</v>
      </c>
      <c r="I437" t="s">
        <v>399</v>
      </c>
      <c r="J437" t="s">
        <v>400</v>
      </c>
      <c r="K437" t="s">
        <v>69</v>
      </c>
      <c r="L437" t="s">
        <v>401</v>
      </c>
      <c r="M437">
        <v>7</v>
      </c>
      <c r="N437">
        <v>4</v>
      </c>
      <c r="O437" t="s">
        <v>40</v>
      </c>
      <c r="P437">
        <v>4</v>
      </c>
      <c r="Q437">
        <f>N437/P437</f>
      </c>
      <c r="R437" s="1">
        <v>739</v>
      </c>
      <c r="S437" s="1">
        <v>739</v>
      </c>
      <c r="T437">
        <f>IF(R437=S437,"相符","不相符")</f>
      </c>
      <c r="U437" t="s">
        <v>400</v>
      </c>
      <c r="V437">
        <f>P437*R437</f>
      </c>
      <c r="W437">
        <f>Q437*V437</f>
      </c>
      <c r="X437">
        <v>540</v>
      </c>
      <c r="Y437" t="s">
        <v>971</v>
      </c>
      <c r="Z437" t="s">
        <v>1103</v>
      </c>
      <c r="AA437"/>
      <c r="AB437"/>
      <c r="AC437" t="s">
        <v>43</v>
      </c>
      <c r="AD437"/>
    </row>
    <row r="438">
      <c r="A438" t="s">
        <v>30</v>
      </c>
      <c r="B438" t="s">
        <v>31</v>
      </c>
      <c r="C438" t="s">
        <v>1102</v>
      </c>
      <c r="D438" t="s">
        <v>33</v>
      </c>
      <c r="E438" t="s">
        <v>34</v>
      </c>
      <c r="F438" s="2">
        <v>46274</v>
      </c>
      <c r="G438">
        <v>5</v>
      </c>
      <c r="H438" t="s">
        <v>1087</v>
      </c>
      <c r="I438" t="s">
        <v>1088</v>
      </c>
      <c r="J438" t="s">
        <v>1089</v>
      </c>
      <c r="K438" t="s">
        <v>82</v>
      </c>
      <c r="L438" t="s">
        <v>1090</v>
      </c>
      <c r="M438">
        <v>141</v>
      </c>
      <c r="N438">
        <v>128</v>
      </c>
      <c r="O438" t="s">
        <v>40</v>
      </c>
      <c r="P438">
        <v>16</v>
      </c>
      <c r="Q438">
        <f>N438/P438</f>
      </c>
      <c r="R438" s="1">
        <v>443</v>
      </c>
      <c r="S438" s="1">
        <v>443</v>
      </c>
      <c r="T438">
        <f>IF(R438=S438,"相符","不相符")</f>
      </c>
      <c r="U438" t="s">
        <v>1089</v>
      </c>
      <c r="V438">
        <f>P438*R438</f>
      </c>
      <c r="W438">
        <f>Q438*V438</f>
      </c>
      <c r="X438">
        <v>730</v>
      </c>
      <c r="Y438" t="s">
        <v>955</v>
      </c>
      <c r="Z438" t="s">
        <v>1103</v>
      </c>
      <c r="AA438"/>
      <c r="AB438"/>
      <c r="AC438" t="s">
        <v>49</v>
      </c>
      <c r="AD438"/>
    </row>
    <row r="439">
      <c r="A439" t="s">
        <v>30</v>
      </c>
      <c r="B439" t="s">
        <v>31</v>
      </c>
      <c r="C439" t="s">
        <v>1108</v>
      </c>
      <c r="D439" t="s">
        <v>33</v>
      </c>
      <c r="E439" t="s">
        <v>34</v>
      </c>
      <c r="F439" s="2">
        <v>46274</v>
      </c>
      <c r="G439">
        <v>1</v>
      </c>
      <c r="H439" t="s">
        <v>323</v>
      </c>
      <c r="I439" t="s">
        <v>324</v>
      </c>
      <c r="J439" t="s">
        <v>325</v>
      </c>
      <c r="K439" t="s">
        <v>82</v>
      </c>
      <c r="L439" t="s">
        <v>326</v>
      </c>
      <c r="M439">
        <v>10</v>
      </c>
      <c r="N439">
        <v>10</v>
      </c>
      <c r="O439" t="s">
        <v>84</v>
      </c>
      <c r="P439">
        <v>1</v>
      </c>
      <c r="Q439">
        <f>N439/P439</f>
      </c>
      <c r="R439" s="1">
        <v>635</v>
      </c>
      <c r="S439" s="1">
        <v>635</v>
      </c>
      <c r="T439">
        <f>IF(R439=S439,"相符","不相符")</f>
      </c>
      <c r="U439" t="s">
        <v>327</v>
      </c>
      <c r="V439">
        <f>P439*R439</f>
      </c>
      <c r="W439">
        <f>Q439*V439</f>
      </c>
      <c r="X439">
        <v>730</v>
      </c>
      <c r="Y439" t="s">
        <v>955</v>
      </c>
      <c r="Z439" t="s">
        <v>1109</v>
      </c>
      <c r="AA439"/>
      <c r="AB439"/>
      <c r="AC439" t="s">
        <v>49</v>
      </c>
      <c r="AD439"/>
    </row>
    <row r="440">
      <c r="A440" t="s">
        <v>30</v>
      </c>
      <c r="B440" t="s">
        <v>31</v>
      </c>
      <c r="C440" t="s">
        <v>1108</v>
      </c>
      <c r="D440" t="s">
        <v>33</v>
      </c>
      <c r="E440" t="s">
        <v>34</v>
      </c>
      <c r="F440" s="2">
        <v>46274</v>
      </c>
      <c r="G440">
        <v>2</v>
      </c>
      <c r="H440" t="s">
        <v>338</v>
      </c>
      <c r="I440" t="s">
        <v>339</v>
      </c>
      <c r="J440" t="s">
        <v>340</v>
      </c>
      <c r="K440" t="s">
        <v>82</v>
      </c>
      <c r="L440" t="s">
        <v>341</v>
      </c>
      <c r="M440">
        <v>470</v>
      </c>
      <c r="N440">
        <v>9</v>
      </c>
      <c r="O440" t="s">
        <v>84</v>
      </c>
      <c r="P440">
        <v>1</v>
      </c>
      <c r="Q440">
        <f>N440/P440</f>
      </c>
      <c r="R440" s="1">
        <v>438</v>
      </c>
      <c r="S440" s="1">
        <v>438</v>
      </c>
      <c r="T440">
        <f>IF(R440=S440,"相符","不相符")</f>
      </c>
      <c r="U440" t="s">
        <v>342</v>
      </c>
      <c r="V440">
        <f>P440*R440</f>
      </c>
      <c r="W440">
        <f>Q440*V440</f>
      </c>
      <c r="X440">
        <v>730</v>
      </c>
      <c r="Y440" t="s">
        <v>996</v>
      </c>
      <c r="Z440" t="s">
        <v>1110</v>
      </c>
      <c r="AA440"/>
      <c r="AB440"/>
      <c r="AC440" t="s">
        <v>43</v>
      </c>
      <c r="AD440"/>
    </row>
    <row r="441">
      <c r="A441" t="s">
        <v>30</v>
      </c>
      <c r="B441" t="s">
        <v>31</v>
      </c>
      <c r="C441" t="s">
        <v>1108</v>
      </c>
      <c r="D441" t="s">
        <v>33</v>
      </c>
      <c r="E441" t="s">
        <v>34</v>
      </c>
      <c r="F441" s="2">
        <v>46274</v>
      </c>
      <c r="G441">
        <v>3</v>
      </c>
      <c r="H441" t="s">
        <v>510</v>
      </c>
      <c r="I441" t="s">
        <v>511</v>
      </c>
      <c r="J441" t="s">
        <v>512</v>
      </c>
      <c r="K441" t="s">
        <v>82</v>
      </c>
      <c r="L441" t="s">
        <v>513</v>
      </c>
      <c r="M441">
        <v>76</v>
      </c>
      <c r="N441">
        <v>76</v>
      </c>
      <c r="O441" t="s">
        <v>84</v>
      </c>
      <c r="P441">
        <v>1</v>
      </c>
      <c r="Q441">
        <f>N441/P441</f>
      </c>
      <c r="R441" s="1">
        <v>438</v>
      </c>
      <c r="S441" s="1">
        <v>438</v>
      </c>
      <c r="T441">
        <f>IF(R441=S441,"相符","不相符")</f>
      </c>
      <c r="U441" t="s">
        <v>512</v>
      </c>
      <c r="V441">
        <f>P441*R441</f>
      </c>
      <c r="W441">
        <f>Q441*V441</f>
      </c>
      <c r="X441">
        <v>730</v>
      </c>
      <c r="Y441" t="s">
        <v>955</v>
      </c>
      <c r="Z441" t="s">
        <v>1109</v>
      </c>
      <c r="AA441"/>
      <c r="AB441"/>
      <c r="AC441" t="s">
        <v>43</v>
      </c>
      <c r="AD441"/>
    </row>
    <row r="442">
      <c r="A442" t="s">
        <v>30</v>
      </c>
      <c r="B442" t="s">
        <v>31</v>
      </c>
      <c r="C442" t="s">
        <v>1108</v>
      </c>
      <c r="D442" t="s">
        <v>33</v>
      </c>
      <c r="E442" t="s">
        <v>34</v>
      </c>
      <c r="F442" s="2">
        <v>46274</v>
      </c>
      <c r="G442">
        <v>4</v>
      </c>
      <c r="H442" t="s">
        <v>1111</v>
      </c>
      <c r="I442" t="s">
        <v>1112</v>
      </c>
      <c r="J442" t="s">
        <v>127</v>
      </c>
      <c r="K442" t="s">
        <v>57</v>
      </c>
      <c r="L442" t="s">
        <v>1113</v>
      </c>
      <c r="M442">
        <v>10</v>
      </c>
      <c r="N442">
        <v>10</v>
      </c>
      <c r="O442" t="s">
        <v>84</v>
      </c>
      <c r="P442">
        <v>1</v>
      </c>
      <c r="Q442">
        <f>N442/P442</f>
      </c>
      <c r="R442" s="1">
        <v>894</v>
      </c>
      <c r="S442" s="1">
        <v>774</v>
      </c>
      <c r="T442">
        <f>IF(R442=S442,"相符","不相符")</f>
      </c>
      <c r="U442" t="s">
        <v>127</v>
      </c>
      <c r="V442">
        <f>P442*R442</f>
      </c>
      <c r="W442">
        <f>Q442*V442</f>
      </c>
      <c r="X442">
        <v>540</v>
      </c>
      <c r="Y442" t="s">
        <v>971</v>
      </c>
      <c r="Z442" t="s">
        <v>1109</v>
      </c>
      <c r="AA442"/>
      <c r="AB442"/>
      <c r="AC442" t="s">
        <v>43</v>
      </c>
      <c r="AD442"/>
    </row>
    <row r="443">
      <c r="A443" t="s">
        <v>30</v>
      </c>
      <c r="B443" t="s">
        <v>31</v>
      </c>
      <c r="C443" t="s">
        <v>1108</v>
      </c>
      <c r="D443" t="s">
        <v>33</v>
      </c>
      <c r="E443" t="s">
        <v>34</v>
      </c>
      <c r="F443" s="2">
        <v>46274</v>
      </c>
      <c r="G443">
        <v>5</v>
      </c>
      <c r="H443" t="s">
        <v>1114</v>
      </c>
      <c r="I443" t="s">
        <v>1115</v>
      </c>
      <c r="J443" t="s">
        <v>297</v>
      </c>
      <c r="K443" t="s">
        <v>57</v>
      </c>
      <c r="L443" t="s">
        <v>1116</v>
      </c>
      <c r="M443">
        <v>10</v>
      </c>
      <c r="N443">
        <v>10</v>
      </c>
      <c r="O443" t="s">
        <v>84</v>
      </c>
      <c r="P443">
        <v>1</v>
      </c>
      <c r="Q443">
        <f>N443/P443</f>
      </c>
      <c r="R443" s="1">
        <v>894</v>
      </c>
      <c r="S443" s="1">
        <v>774</v>
      </c>
      <c r="T443">
        <f>IF(R443=S443,"相符","不相符")</f>
      </c>
      <c r="U443" t="s">
        <v>297</v>
      </c>
      <c r="V443">
        <f>P443*R443</f>
      </c>
      <c r="W443">
        <f>Q443*V443</f>
      </c>
      <c r="X443">
        <v>540</v>
      </c>
      <c r="Y443" t="s">
        <v>1034</v>
      </c>
      <c r="Z443" t="s">
        <v>1109</v>
      </c>
      <c r="AA443"/>
      <c r="AB443"/>
      <c r="AC443" t="s">
        <v>43</v>
      </c>
      <c r="AD443"/>
    </row>
    <row r="444">
      <c r="A444" t="s">
        <v>30</v>
      </c>
      <c r="B444" t="s">
        <v>254</v>
      </c>
      <c r="C444" t="s">
        <v>1117</v>
      </c>
      <c r="D444" t="s">
        <v>262</v>
      </c>
      <c r="E444" t="s">
        <v>263</v>
      </c>
      <c r="F444" s="2">
        <v>46274</v>
      </c>
      <c r="G444">
        <v>1</v>
      </c>
      <c r="H444" t="s">
        <v>1118</v>
      </c>
      <c r="I444" t="s">
        <v>1119</v>
      </c>
      <c r="J444" t="s">
        <v>1120</v>
      </c>
      <c r="K444" t="s">
        <v>491</v>
      </c>
      <c r="L444" t="s">
        <v>1121</v>
      </c>
      <c r="M444">
        <v>900</v>
      </c>
      <c r="N444">
        <v>900</v>
      </c>
      <c r="O444" t="s">
        <v>197</v>
      </c>
      <c r="P444">
        <v>3</v>
      </c>
      <c r="Q444">
        <f>N444/P444</f>
      </c>
      <c r="R444" s="1">
        <v>315</v>
      </c>
      <c r="S444" s="1">
        <v>315</v>
      </c>
      <c r="T444">
        <f>IF(R444=S444,"相符","不相符")</f>
      </c>
      <c r="U444" t="s">
        <v>1122</v>
      </c>
      <c r="V444">
        <f>P444*R444</f>
      </c>
      <c r="W444">
        <f>Q444*V444</f>
      </c>
      <c r="X444">
        <v>1825</v>
      </c>
      <c r="Y444" t="s">
        <v>991</v>
      </c>
      <c r="Z444" t="s">
        <v>838</v>
      </c>
      <c r="AA444"/>
      <c r="AB444"/>
      <c r="AC444" t="s">
        <v>243</v>
      </c>
      <c r="AD444"/>
    </row>
    <row r="445">
      <c r="A445" t="s">
        <v>30</v>
      </c>
      <c r="B445" t="s">
        <v>254</v>
      </c>
      <c r="C445" t="s">
        <v>1117</v>
      </c>
      <c r="D445" t="s">
        <v>262</v>
      </c>
      <c r="E445" t="s">
        <v>263</v>
      </c>
      <c r="F445" s="2">
        <v>46274</v>
      </c>
      <c r="G445">
        <v>2</v>
      </c>
      <c r="H445" t="s">
        <v>591</v>
      </c>
      <c r="I445" t="s">
        <v>592</v>
      </c>
      <c r="J445" t="s">
        <v>593</v>
      </c>
      <c r="K445" t="s">
        <v>258</v>
      </c>
      <c r="L445" t="s">
        <v>594</v>
      </c>
      <c r="M445">
        <v>84</v>
      </c>
      <c r="N445">
        <v>84</v>
      </c>
      <c r="O445" t="s">
        <v>84</v>
      </c>
      <c r="P445">
        <v>1</v>
      </c>
      <c r="Q445">
        <f>N445/P445</f>
      </c>
      <c r="R445" s="1">
        <v>630</v>
      </c>
      <c r="S445" s="1">
        <v>630</v>
      </c>
      <c r="T445">
        <f>IF(R445=S445,"相符","不相符")</f>
      </c>
      <c r="U445"/>
      <c r="V445">
        <f>P445*R445</f>
      </c>
      <c r="W445">
        <f>Q445*V445</f>
      </c>
      <c r="X445">
        <v>1825</v>
      </c>
      <c r="Y445" t="s">
        <v>991</v>
      </c>
      <c r="Z445" t="s">
        <v>838</v>
      </c>
      <c r="AA445"/>
      <c r="AB445"/>
      <c r="AC445" t="s">
        <v>243</v>
      </c>
      <c r="AD445"/>
    </row>
    <row r="446">
      <c r="A446" t="s">
        <v>30</v>
      </c>
      <c r="B446" t="s">
        <v>233</v>
      </c>
      <c r="C446" t="s">
        <v>1123</v>
      </c>
      <c r="D446" t="s">
        <v>191</v>
      </c>
      <c r="E446" t="s">
        <v>192</v>
      </c>
      <c r="F446" s="2">
        <v>46274</v>
      </c>
      <c r="G446">
        <v>1</v>
      </c>
      <c r="H446" t="s">
        <v>289</v>
      </c>
      <c r="I446" t="s">
        <v>290</v>
      </c>
      <c r="J446" t="s">
        <v>291</v>
      </c>
      <c r="K446" t="s">
        <v>238</v>
      </c>
      <c r="L446" t="s">
        <v>292</v>
      </c>
      <c r="M446">
        <v>343</v>
      </c>
      <c r="N446">
        <v>336</v>
      </c>
      <c r="O446" t="s">
        <v>240</v>
      </c>
      <c r="P446">
        <v>12</v>
      </c>
      <c r="Q446">
        <f>N446/P446</f>
      </c>
      <c r="R446" s="1">
        <v>66</v>
      </c>
      <c r="S446" s="1">
        <v>66</v>
      </c>
      <c r="T446">
        <f>IF(R446=S446,"相符","不相符")</f>
      </c>
      <c r="U446"/>
      <c r="V446">
        <f>P446*R446</f>
      </c>
      <c r="W446">
        <f>Q446*V446</f>
      </c>
      <c r="X446">
        <v>1095</v>
      </c>
      <c r="Y446" t="s">
        <v>1124</v>
      </c>
      <c r="Z446" t="s">
        <v>573</v>
      </c>
      <c r="AA446"/>
      <c r="AB446"/>
      <c r="AC446" t="s">
        <v>243</v>
      </c>
      <c r="AD446"/>
    </row>
    <row r="447">
      <c r="A447" t="s">
        <v>30</v>
      </c>
      <c r="B447" t="s">
        <v>254</v>
      </c>
      <c r="C447" t="s">
        <v>1123</v>
      </c>
      <c r="D447" t="s">
        <v>191</v>
      </c>
      <c r="E447" t="s">
        <v>192</v>
      </c>
      <c r="F447" s="2">
        <v>46274</v>
      </c>
      <c r="G447">
        <v>2</v>
      </c>
      <c r="H447" t="s">
        <v>867</v>
      </c>
      <c r="I447" t="s">
        <v>868</v>
      </c>
      <c r="J447" t="s">
        <v>856</v>
      </c>
      <c r="K447" t="s">
        <v>258</v>
      </c>
      <c r="L447" t="s">
        <v>869</v>
      </c>
      <c r="M447">
        <v>2181</v>
      </c>
      <c r="N447">
        <v>2176</v>
      </c>
      <c r="O447" t="s">
        <v>197</v>
      </c>
      <c r="P447">
        <v>8</v>
      </c>
      <c r="Q447">
        <f>N447/P447</f>
      </c>
      <c r="R447" s="1">
        <v>60</v>
      </c>
      <c r="S447" s="1">
        <v>60</v>
      </c>
      <c r="T447">
        <f>IF(R447=S447,"相符","不相符")</f>
      </c>
      <c r="U447"/>
      <c r="V447">
        <f>P447*R447</f>
      </c>
      <c r="W447">
        <f>Q447*V447</f>
      </c>
      <c r="X447">
        <v>1825</v>
      </c>
      <c r="Y447" t="s">
        <v>991</v>
      </c>
      <c r="Z447" t="s">
        <v>573</v>
      </c>
      <c r="AA447"/>
      <c r="AB447"/>
      <c r="AC447" t="s">
        <v>243</v>
      </c>
      <c r="AD447"/>
    </row>
    <row r="448">
      <c r="A448" t="s">
        <v>30</v>
      </c>
      <c r="B448" t="s">
        <v>233</v>
      </c>
      <c r="C448" t="s">
        <v>1123</v>
      </c>
      <c r="D448" t="s">
        <v>191</v>
      </c>
      <c r="E448" t="s">
        <v>192</v>
      </c>
      <c r="F448" s="2">
        <v>46274</v>
      </c>
      <c r="G448">
        <v>3</v>
      </c>
      <c r="H448" t="s">
        <v>1125</v>
      </c>
      <c r="I448" t="s">
        <v>1126</v>
      </c>
      <c r="J448" t="s">
        <v>1127</v>
      </c>
      <c r="K448" t="s">
        <v>238</v>
      </c>
      <c r="L448" t="s">
        <v>1128</v>
      </c>
      <c r="M448">
        <v>558</v>
      </c>
      <c r="N448">
        <v>558</v>
      </c>
      <c r="O448" t="s">
        <v>40</v>
      </c>
      <c r="P448">
        <v>6</v>
      </c>
      <c r="Q448">
        <f>N448/P448</f>
      </c>
      <c r="R448" s="1">
        <v>115</v>
      </c>
      <c r="S448" s="1">
        <v>115</v>
      </c>
      <c r="T448">
        <f>IF(R448=S448,"相符","不相符")</f>
      </c>
      <c r="U448"/>
      <c r="V448">
        <f>P448*R448</f>
      </c>
      <c r="W448">
        <f>Q448*V448</f>
      </c>
      <c r="X448">
        <v>540</v>
      </c>
      <c r="Y448" t="s">
        <v>971</v>
      </c>
      <c r="Z448" t="s">
        <v>573</v>
      </c>
      <c r="AA448"/>
      <c r="AB448"/>
      <c r="AC448" t="s">
        <v>243</v>
      </c>
      <c r="AD448"/>
    </row>
    <row r="449">
      <c r="A449" t="s">
        <v>30</v>
      </c>
      <c r="B449" t="s">
        <v>233</v>
      </c>
      <c r="C449" t="s">
        <v>1123</v>
      </c>
      <c r="D449" t="s">
        <v>191</v>
      </c>
      <c r="E449" t="s">
        <v>192</v>
      </c>
      <c r="F449" s="2">
        <v>46274</v>
      </c>
      <c r="G449">
        <v>4</v>
      </c>
      <c r="H449" t="s">
        <v>1129</v>
      </c>
      <c r="I449" t="s">
        <v>1130</v>
      </c>
      <c r="J449" t="s">
        <v>1131</v>
      </c>
      <c r="K449" t="s">
        <v>238</v>
      </c>
      <c r="L449" t="s">
        <v>1132</v>
      </c>
      <c r="M449">
        <v>88</v>
      </c>
      <c r="N449">
        <v>84</v>
      </c>
      <c r="O449" t="s">
        <v>240</v>
      </c>
      <c r="P449">
        <v>6</v>
      </c>
      <c r="Q449">
        <f>N449/P449</f>
      </c>
      <c r="R449" s="1">
        <v>176</v>
      </c>
      <c r="S449" s="1">
        <v>176</v>
      </c>
      <c r="T449">
        <f>IF(R449=S449,"相符","不相符")</f>
      </c>
      <c r="U449"/>
      <c r="V449">
        <f>P449*R449</f>
      </c>
      <c r="W449">
        <f>Q449*V449</f>
      </c>
      <c r="X449">
        <v>1095</v>
      </c>
      <c r="Y449" t="s">
        <v>1062</v>
      </c>
      <c r="Z449" t="s">
        <v>573</v>
      </c>
      <c r="AA449"/>
      <c r="AB449"/>
      <c r="AC449" t="s">
        <v>243</v>
      </c>
      <c r="AD449"/>
    </row>
    <row r="450">
      <c r="A450" t="s">
        <v>30</v>
      </c>
      <c r="B450" t="s">
        <v>233</v>
      </c>
      <c r="C450" t="s">
        <v>1123</v>
      </c>
      <c r="D450" t="s">
        <v>191</v>
      </c>
      <c r="E450" t="s">
        <v>192</v>
      </c>
      <c r="F450" s="2">
        <v>46274</v>
      </c>
      <c r="G450">
        <v>5</v>
      </c>
      <c r="H450" t="s">
        <v>249</v>
      </c>
      <c r="I450" t="s">
        <v>250</v>
      </c>
      <c r="J450" t="s">
        <v>251</v>
      </c>
      <c r="K450" t="s">
        <v>238</v>
      </c>
      <c r="L450" t="s">
        <v>252</v>
      </c>
      <c r="M450">
        <v>15</v>
      </c>
      <c r="N450">
        <v>12</v>
      </c>
      <c r="O450" t="s">
        <v>177</v>
      </c>
      <c r="P450">
        <v>6</v>
      </c>
      <c r="Q450">
        <f>N450/P450</f>
      </c>
      <c r="R450" s="1">
        <v>137</v>
      </c>
      <c r="S450" s="1">
        <v>137</v>
      </c>
      <c r="T450">
        <f>IF(R450=S450,"相符","不相符")</f>
      </c>
      <c r="U450"/>
      <c r="V450">
        <f>P450*R450</f>
      </c>
      <c r="W450">
        <f>Q450*V450</f>
      </c>
      <c r="X450">
        <v>1095</v>
      </c>
      <c r="Y450" t="s">
        <v>1124</v>
      </c>
      <c r="Z450" t="s">
        <v>573</v>
      </c>
      <c r="AA450"/>
      <c r="AB450"/>
      <c r="AC450" t="s">
        <v>243</v>
      </c>
      <c r="AD450"/>
    </row>
    <row r="451">
      <c r="A451" t="s">
        <v>30</v>
      </c>
      <c r="B451" t="s">
        <v>31</v>
      </c>
      <c r="C451" t="s">
        <v>1133</v>
      </c>
      <c r="D451" t="s">
        <v>191</v>
      </c>
      <c r="E451" t="s">
        <v>192</v>
      </c>
      <c r="F451" s="2">
        <v>46274</v>
      </c>
      <c r="G451">
        <v>1</v>
      </c>
      <c r="H451" t="s">
        <v>1134</v>
      </c>
      <c r="I451" t="s">
        <v>1135</v>
      </c>
      <c r="J451" t="s">
        <v>1136</v>
      </c>
      <c r="K451" t="s">
        <v>63</v>
      </c>
      <c r="L451" t="s">
        <v>1137</v>
      </c>
      <c r="M451">
        <v>252</v>
      </c>
      <c r="N451">
        <v>252</v>
      </c>
      <c r="O451" t="s">
        <v>40</v>
      </c>
      <c r="P451">
        <v>12</v>
      </c>
      <c r="Q451">
        <f>N451/P451</f>
      </c>
      <c r="R451" s="1">
        <v>317</v>
      </c>
      <c r="S451" s="1">
        <v>317</v>
      </c>
      <c r="T451">
        <f>IF(R451=S451,"相符","不相符")</f>
      </c>
      <c r="U451" t="s">
        <v>1136</v>
      </c>
      <c r="V451">
        <f>P451*R451</f>
      </c>
      <c r="W451">
        <f>Q451*V451</f>
      </c>
      <c r="X451">
        <v>450</v>
      </c>
      <c r="Y451" t="s">
        <v>971</v>
      </c>
      <c r="Z451" t="s">
        <v>1138</v>
      </c>
      <c r="AA451"/>
      <c r="AB451"/>
      <c r="AC451" t="s">
        <v>43</v>
      </c>
      <c r="AD451"/>
    </row>
    <row r="452">
      <c r="A452" t="s">
        <v>30</v>
      </c>
      <c r="B452" t="s">
        <v>31</v>
      </c>
      <c r="C452" t="s">
        <v>1133</v>
      </c>
      <c r="D452" t="s">
        <v>191</v>
      </c>
      <c r="E452" t="s">
        <v>192</v>
      </c>
      <c r="F452" s="2">
        <v>46274</v>
      </c>
      <c r="G452">
        <v>2</v>
      </c>
      <c r="H452" t="s">
        <v>1139</v>
      </c>
      <c r="I452" t="s">
        <v>1140</v>
      </c>
      <c r="J452" t="s">
        <v>562</v>
      </c>
      <c r="K452" t="s">
        <v>63</v>
      </c>
      <c r="L452" t="s">
        <v>1141</v>
      </c>
      <c r="M452">
        <v>340</v>
      </c>
      <c r="N452">
        <v>340</v>
      </c>
      <c r="O452" t="s">
        <v>40</v>
      </c>
      <c r="P452">
        <v>10</v>
      </c>
      <c r="Q452">
        <f>N452/P452</f>
      </c>
      <c r="R452" s="1">
        <v>177</v>
      </c>
      <c r="S452" s="1">
        <v>177</v>
      </c>
      <c r="T452">
        <f>IF(R452=S452,"相符","不相符")</f>
      </c>
      <c r="U452" t="s">
        <v>562</v>
      </c>
      <c r="V452">
        <f>P452*R452</f>
      </c>
      <c r="W452">
        <f>Q452*V452</f>
      </c>
      <c r="X452">
        <v>450</v>
      </c>
      <c r="Y452" t="s">
        <v>971</v>
      </c>
      <c r="Z452" t="s">
        <v>1138</v>
      </c>
      <c r="AA452"/>
      <c r="AB452"/>
      <c r="AC452" t="s">
        <v>43</v>
      </c>
      <c r="AD452"/>
    </row>
    <row r="453">
      <c r="A453" t="s">
        <v>30</v>
      </c>
      <c r="B453" t="s">
        <v>31</v>
      </c>
      <c r="C453" t="s">
        <v>1133</v>
      </c>
      <c r="D453" t="s">
        <v>191</v>
      </c>
      <c r="E453" t="s">
        <v>192</v>
      </c>
      <c r="F453" s="2">
        <v>46274</v>
      </c>
      <c r="G453">
        <v>3</v>
      </c>
      <c r="H453" t="s">
        <v>1142</v>
      </c>
      <c r="I453" t="s">
        <v>1143</v>
      </c>
      <c r="J453" t="s">
        <v>1144</v>
      </c>
      <c r="K453" t="s">
        <v>161</v>
      </c>
      <c r="L453" t="s">
        <v>1145</v>
      </c>
      <c r="M453">
        <v>80</v>
      </c>
      <c r="N453">
        <v>72</v>
      </c>
      <c r="O453" t="s">
        <v>40</v>
      </c>
      <c r="P453">
        <v>36</v>
      </c>
      <c r="Q453">
        <f>N453/P453</f>
      </c>
      <c r="R453" s="1">
        <v>206</v>
      </c>
      <c r="S453" s="1">
        <v>206</v>
      </c>
      <c r="T453">
        <f>IF(R453=S453,"相符","不相符")</f>
      </c>
      <c r="U453" t="s">
        <v>1144</v>
      </c>
      <c r="V453">
        <f>P453*R453</f>
      </c>
      <c r="W453">
        <f>Q453*V453</f>
      </c>
      <c r="X453">
        <v>365</v>
      </c>
      <c r="Y453" t="s">
        <v>1004</v>
      </c>
      <c r="Z453" t="s">
        <v>1138</v>
      </c>
      <c r="AA453"/>
      <c r="AB453"/>
      <c r="AC453" t="s">
        <v>43</v>
      </c>
      <c r="AD453"/>
    </row>
    <row r="454">
      <c r="A454" t="s">
        <v>30</v>
      </c>
      <c r="B454" t="s">
        <v>31</v>
      </c>
      <c r="C454" t="s">
        <v>1133</v>
      </c>
      <c r="D454" t="s">
        <v>191</v>
      </c>
      <c r="E454" t="s">
        <v>192</v>
      </c>
      <c r="F454" s="2">
        <v>46274</v>
      </c>
      <c r="G454">
        <v>4</v>
      </c>
      <c r="H454" t="s">
        <v>72</v>
      </c>
      <c r="I454" t="s">
        <v>73</v>
      </c>
      <c r="J454" t="s">
        <v>74</v>
      </c>
      <c r="K454" t="s">
        <v>75</v>
      </c>
      <c r="L454" t="s">
        <v>76</v>
      </c>
      <c r="M454">
        <v>870</v>
      </c>
      <c r="N454">
        <v>870</v>
      </c>
      <c r="O454" t="s">
        <v>40</v>
      </c>
      <c r="P454">
        <v>30</v>
      </c>
      <c r="Q454">
        <f>N454/P454</f>
      </c>
      <c r="R454" s="1">
        <v>107</v>
      </c>
      <c r="S454" s="1">
        <v>107</v>
      </c>
      <c r="T454">
        <f>IF(R454=S454,"相符","不相符")</f>
      </c>
      <c r="U454" t="s">
        <v>77</v>
      </c>
      <c r="V454">
        <f>P454*R454</f>
      </c>
      <c r="W454">
        <f>Q454*V454</f>
      </c>
      <c r="X454">
        <v>365</v>
      </c>
      <c r="Y454" t="s">
        <v>1004</v>
      </c>
      <c r="Z454" t="s">
        <v>1138</v>
      </c>
      <c r="AA454"/>
      <c r="AB454"/>
      <c r="AC454" t="s">
        <v>43</v>
      </c>
      <c r="AD454"/>
    </row>
    <row r="455">
      <c r="A455" t="s">
        <v>30</v>
      </c>
      <c r="B455" t="s">
        <v>31</v>
      </c>
      <c r="C455" t="s">
        <v>1133</v>
      </c>
      <c r="D455" t="s">
        <v>191</v>
      </c>
      <c r="E455" t="s">
        <v>192</v>
      </c>
      <c r="F455" s="2">
        <v>46274</v>
      </c>
      <c r="G455">
        <v>5</v>
      </c>
      <c r="H455" t="s">
        <v>1098</v>
      </c>
      <c r="I455" t="s">
        <v>1099</v>
      </c>
      <c r="J455" t="s">
        <v>1100</v>
      </c>
      <c r="K455" t="s">
        <v>75</v>
      </c>
      <c r="L455" t="s">
        <v>1101</v>
      </c>
      <c r="M455">
        <v>72</v>
      </c>
      <c r="N455">
        <v>72</v>
      </c>
      <c r="O455" t="s">
        <v>40</v>
      </c>
      <c r="P455">
        <v>12</v>
      </c>
      <c r="Q455">
        <f>N455/P455</f>
      </c>
      <c r="R455" s="1">
        <v>244</v>
      </c>
      <c r="S455" s="1">
        <v>244</v>
      </c>
      <c r="T455">
        <f>IF(R455=S455,"相符","不相符")</f>
      </c>
      <c r="U455" t="s">
        <v>1100</v>
      </c>
      <c r="V455">
        <f>P455*R455</f>
      </c>
      <c r="W455">
        <f>Q455*V455</f>
      </c>
      <c r="X455">
        <v>456</v>
      </c>
      <c r="Y455" t="s">
        <v>971</v>
      </c>
      <c r="Z455" t="s">
        <v>1138</v>
      </c>
      <c r="AA455"/>
      <c r="AB455"/>
      <c r="AC455" t="s">
        <v>43</v>
      </c>
      <c r="AD455"/>
    </row>
    <row r="456">
      <c r="A456" t="s">
        <v>30</v>
      </c>
      <c r="B456" t="s">
        <v>31</v>
      </c>
      <c r="C456" t="s">
        <v>1146</v>
      </c>
      <c r="D456" t="s">
        <v>604</v>
      </c>
      <c r="E456" t="s">
        <v>605</v>
      </c>
      <c r="F456" s="2">
        <v>46274</v>
      </c>
      <c r="G456">
        <v>1</v>
      </c>
      <c r="H456" t="s">
        <v>1147</v>
      </c>
      <c r="I456" t="s">
        <v>1148</v>
      </c>
      <c r="J456" t="s">
        <v>1149</v>
      </c>
      <c r="K456" t="s">
        <v>57</v>
      </c>
      <c r="L456" t="s">
        <v>1150</v>
      </c>
      <c r="M456">
        <v>218</v>
      </c>
      <c r="N456">
        <v>218</v>
      </c>
      <c r="O456" t="s">
        <v>84</v>
      </c>
      <c r="P456">
        <v>1</v>
      </c>
      <c r="Q456">
        <f>N456/P456</f>
      </c>
      <c r="R456" s="1">
        <v>561</v>
      </c>
      <c r="S456" s="1">
        <v>561</v>
      </c>
      <c r="T456">
        <f>IF(R456=S456,"相符","不相符")</f>
      </c>
      <c r="U456" t="s">
        <v>1149</v>
      </c>
      <c r="V456">
        <f>P456*R456</f>
      </c>
      <c r="W456">
        <f>Q456*V456</f>
      </c>
      <c r="X456">
        <v>540</v>
      </c>
      <c r="Y456" t="s">
        <v>1034</v>
      </c>
      <c r="Z456" t="s">
        <v>1151</v>
      </c>
      <c r="AA456"/>
      <c r="AB456"/>
      <c r="AC456" t="s">
        <v>43</v>
      </c>
      <c r="AD456"/>
    </row>
    <row r="457">
      <c r="A457" t="s">
        <v>30</v>
      </c>
      <c r="B457" t="s">
        <v>31</v>
      </c>
      <c r="C457" t="s">
        <v>1152</v>
      </c>
      <c r="D457" t="s">
        <v>33</v>
      </c>
      <c r="E457" t="s">
        <v>34</v>
      </c>
      <c r="F457" s="2">
        <v>46274</v>
      </c>
      <c r="G457">
        <v>1</v>
      </c>
      <c r="H457" t="s">
        <v>306</v>
      </c>
      <c r="I457" t="s">
        <v>307</v>
      </c>
      <c r="J457" t="s">
        <v>308</v>
      </c>
      <c r="K457" t="s">
        <v>57</v>
      </c>
      <c r="L457" t="s">
        <v>309</v>
      </c>
      <c r="M457">
        <v>92</v>
      </c>
      <c r="N457">
        <v>90</v>
      </c>
      <c r="O457" t="s">
        <v>40</v>
      </c>
      <c r="P457">
        <v>6</v>
      </c>
      <c r="Q457">
        <f>N457/P457</f>
      </c>
      <c r="R457" s="1">
        <v>129</v>
      </c>
      <c r="S457" s="1">
        <v>129</v>
      </c>
      <c r="T457">
        <f>IF(R457=S457,"相符","不相符")</f>
      </c>
      <c r="U457" t="s">
        <v>310</v>
      </c>
      <c r="V457">
        <f>P457*R457</f>
      </c>
      <c r="W457">
        <f>Q457*V457</f>
      </c>
      <c r="X457">
        <v>540</v>
      </c>
      <c r="Y457" t="s">
        <v>1034</v>
      </c>
      <c r="Z457" t="s">
        <v>1151</v>
      </c>
      <c r="AA457"/>
      <c r="AB457"/>
      <c r="AC457" t="s">
        <v>43</v>
      </c>
      <c r="AD457"/>
    </row>
    <row r="458">
      <c r="A458" t="s">
        <v>30</v>
      </c>
      <c r="B458" t="s">
        <v>31</v>
      </c>
      <c r="C458" t="s">
        <v>1152</v>
      </c>
      <c r="D458" t="s">
        <v>33</v>
      </c>
      <c r="E458" t="s">
        <v>34</v>
      </c>
      <c r="F458" s="2">
        <v>46274</v>
      </c>
      <c r="G458">
        <v>2</v>
      </c>
      <c r="H458" t="s">
        <v>1153</v>
      </c>
      <c r="I458" t="s">
        <v>1154</v>
      </c>
      <c r="J458" t="s">
        <v>1155</v>
      </c>
      <c r="K458" t="s">
        <v>57</v>
      </c>
      <c r="L458" t="s">
        <v>1156</v>
      </c>
      <c r="M458">
        <v>34</v>
      </c>
      <c r="N458">
        <v>30</v>
      </c>
      <c r="O458" t="s">
        <v>40</v>
      </c>
      <c r="P458">
        <v>6</v>
      </c>
      <c r="Q458">
        <f>N458/P458</f>
      </c>
      <c r="R458" s="1">
        <v>129</v>
      </c>
      <c r="S458" s="1">
        <v>129</v>
      </c>
      <c r="T458">
        <f>IF(R458=S458,"相符","不相符")</f>
      </c>
      <c r="U458" t="s">
        <v>1155</v>
      </c>
      <c r="V458">
        <f>P458*R458</f>
      </c>
      <c r="W458">
        <f>Q458*V458</f>
      </c>
      <c r="X458">
        <v>540</v>
      </c>
      <c r="Y458" t="s">
        <v>971</v>
      </c>
      <c r="Z458" t="s">
        <v>1151</v>
      </c>
      <c r="AA458"/>
      <c r="AB458"/>
      <c r="AC458" t="s">
        <v>43</v>
      </c>
      <c r="AD458"/>
    </row>
    <row r="459">
      <c r="A459" t="s">
        <v>30</v>
      </c>
      <c r="B459" t="s">
        <v>31</v>
      </c>
      <c r="C459" t="s">
        <v>1152</v>
      </c>
      <c r="D459" t="s">
        <v>33</v>
      </c>
      <c r="E459" t="s">
        <v>34</v>
      </c>
      <c r="F459" s="2">
        <v>46274</v>
      </c>
      <c r="G459">
        <v>3</v>
      </c>
      <c r="H459" t="s">
        <v>1157</v>
      </c>
      <c r="I459" t="s">
        <v>1158</v>
      </c>
      <c r="J459" t="s">
        <v>1159</v>
      </c>
      <c r="K459" t="s">
        <v>82</v>
      </c>
      <c r="L459" t="s">
        <v>1160</v>
      </c>
      <c r="M459">
        <v>37</v>
      </c>
      <c r="N459">
        <v>32</v>
      </c>
      <c r="O459" t="s">
        <v>40</v>
      </c>
      <c r="P459">
        <v>8</v>
      </c>
      <c r="Q459">
        <f>N459/P459</f>
      </c>
      <c r="R459" s="1">
        <v>220</v>
      </c>
      <c r="S459" s="1">
        <v>220</v>
      </c>
      <c r="T459">
        <f>IF(R459=S459,"相符","不相符")</f>
      </c>
      <c r="U459" t="s">
        <v>1159</v>
      </c>
      <c r="V459">
        <f>P459*R459</f>
      </c>
      <c r="W459">
        <f>Q459*V459</f>
      </c>
      <c r="X459">
        <v>730</v>
      </c>
      <c r="Y459" t="s">
        <v>989</v>
      </c>
      <c r="Z459" t="s">
        <v>1151</v>
      </c>
      <c r="AA459"/>
      <c r="AB459"/>
      <c r="AC459" t="s">
        <v>49</v>
      </c>
      <c r="AD459"/>
    </row>
    <row r="460">
      <c r="A460" t="s">
        <v>30</v>
      </c>
      <c r="B460" t="s">
        <v>31</v>
      </c>
      <c r="C460" t="s">
        <v>1152</v>
      </c>
      <c r="D460" t="s">
        <v>33</v>
      </c>
      <c r="E460" t="s">
        <v>34</v>
      </c>
      <c r="F460" s="2">
        <v>46274</v>
      </c>
      <c r="G460">
        <v>4</v>
      </c>
      <c r="H460" t="s">
        <v>1161</v>
      </c>
      <c r="I460" t="s">
        <v>1162</v>
      </c>
      <c r="J460" t="s">
        <v>1163</v>
      </c>
      <c r="K460" t="s">
        <v>82</v>
      </c>
      <c r="L460" t="s">
        <v>1164</v>
      </c>
      <c r="M460">
        <v>47</v>
      </c>
      <c r="N460">
        <v>40</v>
      </c>
      <c r="O460" t="s">
        <v>40</v>
      </c>
      <c r="P460">
        <v>8</v>
      </c>
      <c r="Q460">
        <f>N460/P460</f>
      </c>
      <c r="R460" s="1">
        <v>220</v>
      </c>
      <c r="S460" s="1">
        <v>220</v>
      </c>
      <c r="T460">
        <f>IF(R460=S460,"相符","不相符")</f>
      </c>
      <c r="U460" t="s">
        <v>1163</v>
      </c>
      <c r="V460">
        <f>P460*R460</f>
      </c>
      <c r="W460">
        <f>Q460*V460</f>
      </c>
      <c r="X460">
        <v>730</v>
      </c>
      <c r="Y460" t="s">
        <v>989</v>
      </c>
      <c r="Z460" t="s">
        <v>1151</v>
      </c>
      <c r="AA460"/>
      <c r="AB460"/>
      <c r="AC460" t="s">
        <v>49</v>
      </c>
      <c r="AD460"/>
    </row>
    <row r="461">
      <c r="A461" t="s">
        <v>30</v>
      </c>
      <c r="B461" t="s">
        <v>31</v>
      </c>
      <c r="C461" t="s">
        <v>1152</v>
      </c>
      <c r="D461" t="s">
        <v>33</v>
      </c>
      <c r="E461" t="s">
        <v>34</v>
      </c>
      <c r="F461" s="2">
        <v>46274</v>
      </c>
      <c r="G461">
        <v>5</v>
      </c>
      <c r="H461" t="s">
        <v>184</v>
      </c>
      <c r="I461" t="s">
        <v>185</v>
      </c>
      <c r="J461" t="s">
        <v>186</v>
      </c>
      <c r="K461" t="s">
        <v>69</v>
      </c>
      <c r="L461" t="s">
        <v>187</v>
      </c>
      <c r="M461">
        <v>59</v>
      </c>
      <c r="N461">
        <v>40</v>
      </c>
      <c r="O461" t="s">
        <v>177</v>
      </c>
      <c r="P461">
        <v>40</v>
      </c>
      <c r="Q461">
        <f>N461/P461</f>
      </c>
      <c r="R461" s="1">
        <v>118.2</v>
      </c>
      <c r="S461" s="1">
        <v>118</v>
      </c>
      <c r="T461">
        <f>IF(R461=S461,"相符","不相符")</f>
      </c>
      <c r="U461" t="s">
        <v>186</v>
      </c>
      <c r="V461">
        <f>P461*R461</f>
      </c>
      <c r="W461">
        <f>Q461*V461</f>
      </c>
      <c r="X461">
        <v>540</v>
      </c>
      <c r="Y461" t="s">
        <v>982</v>
      </c>
      <c r="Z461" t="s">
        <v>1151</v>
      </c>
      <c r="AA461"/>
      <c r="AB461"/>
      <c r="AC461" t="s">
        <v>43</v>
      </c>
      <c r="AD461"/>
    </row>
    <row r="462">
      <c r="A462" t="s">
        <v>30</v>
      </c>
      <c r="B462" t="s">
        <v>31</v>
      </c>
      <c r="C462" t="s">
        <v>1165</v>
      </c>
      <c r="D462" t="s">
        <v>191</v>
      </c>
      <c r="E462" t="s">
        <v>192</v>
      </c>
      <c r="F462" s="2">
        <v>46274</v>
      </c>
      <c r="G462">
        <v>1</v>
      </c>
      <c r="H462" t="s">
        <v>134</v>
      </c>
      <c r="I462" t="s">
        <v>135</v>
      </c>
      <c r="J462" t="s">
        <v>136</v>
      </c>
      <c r="K462" t="s">
        <v>38</v>
      </c>
      <c r="L462" t="s">
        <v>137</v>
      </c>
      <c r="M462">
        <v>23</v>
      </c>
      <c r="N462">
        <v>20</v>
      </c>
      <c r="O462" t="s">
        <v>40</v>
      </c>
      <c r="P462">
        <v>10</v>
      </c>
      <c r="Q462">
        <f>N462/P462</f>
      </c>
      <c r="R462" s="1">
        <v>277</v>
      </c>
      <c r="S462" s="1">
        <v>277</v>
      </c>
      <c r="T462">
        <f>IF(R462=S462,"相符","不相符")</f>
      </c>
      <c r="U462" t="s">
        <v>138</v>
      </c>
      <c r="V462">
        <f>P462*R462</f>
      </c>
      <c r="W462">
        <f>Q462*V462</f>
      </c>
      <c r="X462">
        <v>730</v>
      </c>
      <c r="Y462" t="s">
        <v>998</v>
      </c>
      <c r="Z462" t="s">
        <v>1151</v>
      </c>
      <c r="AA462"/>
      <c r="AB462"/>
      <c r="AC462" t="s">
        <v>49</v>
      </c>
      <c r="AD462"/>
    </row>
    <row r="463">
      <c r="A463" t="s">
        <v>30</v>
      </c>
      <c r="B463" t="s">
        <v>31</v>
      </c>
      <c r="C463" t="s">
        <v>1165</v>
      </c>
      <c r="D463" t="s">
        <v>191</v>
      </c>
      <c r="E463" t="s">
        <v>192</v>
      </c>
      <c r="F463" s="2">
        <v>46274</v>
      </c>
      <c r="G463">
        <v>2</v>
      </c>
      <c r="H463" t="s">
        <v>967</v>
      </c>
      <c r="I463" t="s">
        <v>968</v>
      </c>
      <c r="J463" t="s">
        <v>969</v>
      </c>
      <c r="K463" t="s">
        <v>377</v>
      </c>
      <c r="L463" t="s">
        <v>970</v>
      </c>
      <c r="M463">
        <v>41</v>
      </c>
      <c r="N463">
        <v>24</v>
      </c>
      <c r="O463" t="s">
        <v>40</v>
      </c>
      <c r="P463">
        <v>24</v>
      </c>
      <c r="Q463">
        <f>N463/P463</f>
      </c>
      <c r="R463" s="1">
        <v>350</v>
      </c>
      <c r="S463" s="1">
        <v>350</v>
      </c>
      <c r="T463">
        <f>IF(R463=S463,"相符","不相符")</f>
      </c>
      <c r="U463" t="s">
        <v>969</v>
      </c>
      <c r="V463">
        <f>P463*R463</f>
      </c>
      <c r="W463">
        <f>Q463*V463</f>
      </c>
      <c r="X463">
        <v>540</v>
      </c>
      <c r="Y463" t="s">
        <v>971</v>
      </c>
      <c r="Z463" t="s">
        <v>1151</v>
      </c>
      <c r="AA463"/>
      <c r="AB463"/>
      <c r="AC463" t="s">
        <v>43</v>
      </c>
      <c r="AD463"/>
    </row>
    <row r="464">
      <c r="A464" t="s">
        <v>30</v>
      </c>
      <c r="B464" t="s">
        <v>31</v>
      </c>
      <c r="C464" t="s">
        <v>1165</v>
      </c>
      <c r="D464" t="s">
        <v>191</v>
      </c>
      <c r="E464" t="s">
        <v>192</v>
      </c>
      <c r="F464" s="2">
        <v>46274</v>
      </c>
      <c r="G464">
        <v>3</v>
      </c>
      <c r="H464" t="s">
        <v>983</v>
      </c>
      <c r="I464" t="s">
        <v>984</v>
      </c>
      <c r="J464" t="s">
        <v>985</v>
      </c>
      <c r="K464" t="s">
        <v>38</v>
      </c>
      <c r="L464" t="s">
        <v>986</v>
      </c>
      <c r="M464">
        <v>487</v>
      </c>
      <c r="N464">
        <v>480</v>
      </c>
      <c r="O464" t="s">
        <v>177</v>
      </c>
      <c r="P464">
        <v>12</v>
      </c>
      <c r="Q464">
        <f>N464/P464</f>
      </c>
      <c r="R464" s="1">
        <v>141.33</v>
      </c>
      <c r="S464" s="1">
        <v>141.16</v>
      </c>
      <c r="T464">
        <f>IF(R464=S464,"相符","不相符")</f>
      </c>
      <c r="U464" t="s">
        <v>985</v>
      </c>
      <c r="V464">
        <f>P464*R464</f>
      </c>
      <c r="W464">
        <f>Q464*V464</f>
      </c>
      <c r="X464">
        <v>730</v>
      </c>
      <c r="Y464" t="s">
        <v>987</v>
      </c>
      <c r="Z464" t="s">
        <v>1151</v>
      </c>
      <c r="AA464"/>
      <c r="AB464"/>
      <c r="AC464" t="s">
        <v>43</v>
      </c>
      <c r="AD464"/>
    </row>
    <row r="465">
      <c r="A465" t="s">
        <v>30</v>
      </c>
      <c r="B465" t="s">
        <v>31</v>
      </c>
      <c r="C465" t="s">
        <v>1166</v>
      </c>
      <c r="D465" t="s">
        <v>478</v>
      </c>
      <c r="E465" t="s">
        <v>479</v>
      </c>
      <c r="F465" s="2">
        <v>46274</v>
      </c>
      <c r="G465">
        <v>1</v>
      </c>
      <c r="H465" t="s">
        <v>125</v>
      </c>
      <c r="I465" t="s">
        <v>126</v>
      </c>
      <c r="J465" t="s">
        <v>127</v>
      </c>
      <c r="K465" t="s">
        <v>57</v>
      </c>
      <c r="L465" t="s">
        <v>128</v>
      </c>
      <c r="M465">
        <v>35</v>
      </c>
      <c r="N465">
        <v>30</v>
      </c>
      <c r="O465" t="s">
        <v>40</v>
      </c>
      <c r="P465">
        <v>6</v>
      </c>
      <c r="Q465">
        <f>N465/P465</f>
      </c>
      <c r="R465" s="1">
        <v>129</v>
      </c>
      <c r="S465" s="1">
        <v>129</v>
      </c>
      <c r="T465">
        <f>IF(R465=S465,"相符","不相符")</f>
      </c>
      <c r="U465" t="s">
        <v>127</v>
      </c>
      <c r="V465">
        <f>P465*R465</f>
      </c>
      <c r="W465">
        <f>Q465*V465</f>
      </c>
      <c r="X465">
        <v>540</v>
      </c>
      <c r="Y465" t="s">
        <v>971</v>
      </c>
      <c r="Z465" t="s">
        <v>1151</v>
      </c>
      <c r="AA465"/>
      <c r="AB465"/>
      <c r="AC465" t="s">
        <v>43</v>
      </c>
      <c r="AD465"/>
    </row>
    <row r="466">
      <c r="A466" t="s">
        <v>30</v>
      </c>
      <c r="B466" t="s">
        <v>31</v>
      </c>
      <c r="C466" t="s">
        <v>1166</v>
      </c>
      <c r="D466" t="s">
        <v>478</v>
      </c>
      <c r="E466" t="s">
        <v>479</v>
      </c>
      <c r="F466" s="2">
        <v>46274</v>
      </c>
      <c r="G466">
        <v>2</v>
      </c>
      <c r="H466" t="s">
        <v>1167</v>
      </c>
      <c r="I466" t="s">
        <v>1168</v>
      </c>
      <c r="J466" t="s">
        <v>1169</v>
      </c>
      <c r="K466" t="s">
        <v>38</v>
      </c>
      <c r="L466" t="s">
        <v>1170</v>
      </c>
      <c r="M466">
        <v>66</v>
      </c>
      <c r="N466">
        <v>64</v>
      </c>
      <c r="O466" t="s">
        <v>40</v>
      </c>
      <c r="P466">
        <v>4</v>
      </c>
      <c r="Q466">
        <f>N466/P466</f>
      </c>
      <c r="R466" s="1">
        <v>555</v>
      </c>
      <c r="S466" s="1">
        <v>555</v>
      </c>
      <c r="T466">
        <f>IF(R466=S466,"相符","不相符")</f>
      </c>
      <c r="U466" t="s">
        <v>1169</v>
      </c>
      <c r="V466">
        <f>P466*R466</f>
      </c>
      <c r="W466">
        <f>Q466*V466</f>
      </c>
      <c r="X466">
        <v>730</v>
      </c>
      <c r="Y466" t="s">
        <v>955</v>
      </c>
      <c r="Z466" t="s">
        <v>1151</v>
      </c>
      <c r="AA466"/>
      <c r="AB466"/>
      <c r="AC466" t="s">
        <v>43</v>
      </c>
      <c r="AD466"/>
    </row>
    <row r="467">
      <c r="A467" t="s">
        <v>30</v>
      </c>
      <c r="B467" t="s">
        <v>31</v>
      </c>
      <c r="C467" t="s">
        <v>1166</v>
      </c>
      <c r="D467" t="s">
        <v>478</v>
      </c>
      <c r="E467" t="s">
        <v>479</v>
      </c>
      <c r="F467" s="2">
        <v>46274</v>
      </c>
      <c r="G467">
        <v>3</v>
      </c>
      <c r="H467" t="s">
        <v>44</v>
      </c>
      <c r="I467" t="s">
        <v>45</v>
      </c>
      <c r="J467" t="s">
        <v>46</v>
      </c>
      <c r="K467" t="s">
        <v>38</v>
      </c>
      <c r="L467" t="s">
        <v>47</v>
      </c>
      <c r="M467">
        <v>62</v>
      </c>
      <c r="N467">
        <v>60</v>
      </c>
      <c r="O467" t="s">
        <v>40</v>
      </c>
      <c r="P467">
        <v>10</v>
      </c>
      <c r="Q467">
        <f>N467/P467</f>
      </c>
      <c r="R467" s="1">
        <v>277</v>
      </c>
      <c r="S467" s="1">
        <v>277</v>
      </c>
      <c r="T467">
        <f>IF(R467=S467,"相符","不相符")</f>
      </c>
      <c r="U467" t="s">
        <v>48</v>
      </c>
      <c r="V467">
        <f>P467*R467</f>
      </c>
      <c r="W467">
        <f>Q467*V467</f>
      </c>
      <c r="X467">
        <v>730</v>
      </c>
      <c r="Y467" t="s">
        <v>955</v>
      </c>
      <c r="Z467" t="s">
        <v>1151</v>
      </c>
      <c r="AA467"/>
      <c r="AB467"/>
      <c r="AC467" t="s">
        <v>49</v>
      </c>
      <c r="AD467"/>
    </row>
    <row r="468">
      <c r="A468" t="s">
        <v>30</v>
      </c>
      <c r="B468" t="s">
        <v>31</v>
      </c>
      <c r="C468" t="s">
        <v>1166</v>
      </c>
      <c r="D468" t="s">
        <v>478</v>
      </c>
      <c r="E468" t="s">
        <v>479</v>
      </c>
      <c r="F468" s="2">
        <v>46274</v>
      </c>
      <c r="G468">
        <v>4</v>
      </c>
      <c r="H468" t="s">
        <v>1171</v>
      </c>
      <c r="I468" t="s">
        <v>1172</v>
      </c>
      <c r="J468" t="s">
        <v>1173</v>
      </c>
      <c r="K468" t="s">
        <v>38</v>
      </c>
      <c r="L468" t="s">
        <v>1174</v>
      </c>
      <c r="M468">
        <v>121</v>
      </c>
      <c r="N468">
        <v>120</v>
      </c>
      <c r="O468" t="s">
        <v>40</v>
      </c>
      <c r="P468">
        <v>4</v>
      </c>
      <c r="Q468">
        <f>N468/P468</f>
      </c>
      <c r="R468" s="1">
        <v>555</v>
      </c>
      <c r="S468" s="1">
        <v>555</v>
      </c>
      <c r="T468">
        <f>IF(R468=S468,"相符","不相符")</f>
      </c>
      <c r="U468" t="s">
        <v>1173</v>
      </c>
      <c r="V468">
        <f>P468*R468</f>
      </c>
      <c r="W468">
        <f>Q468*V468</f>
      </c>
      <c r="X468">
        <v>730</v>
      </c>
      <c r="Y468" t="s">
        <v>998</v>
      </c>
      <c r="Z468" t="s">
        <v>1151</v>
      </c>
      <c r="AA468"/>
      <c r="AB468"/>
      <c r="AC468" t="s">
        <v>43</v>
      </c>
      <c r="AD468"/>
    </row>
    <row r="469">
      <c r="A469" t="s">
        <v>30</v>
      </c>
      <c r="B469" t="s">
        <v>31</v>
      </c>
      <c r="C469" t="s">
        <v>1166</v>
      </c>
      <c r="D469" t="s">
        <v>478</v>
      </c>
      <c r="E469" t="s">
        <v>479</v>
      </c>
      <c r="F469" s="2">
        <v>46274</v>
      </c>
      <c r="G469">
        <v>5</v>
      </c>
      <c r="H469" t="s">
        <v>54</v>
      </c>
      <c r="I469" t="s">
        <v>55</v>
      </c>
      <c r="J469" t="s">
        <v>56</v>
      </c>
      <c r="K469" t="s">
        <v>57</v>
      </c>
      <c r="L469" t="s">
        <v>58</v>
      </c>
      <c r="M469">
        <v>381</v>
      </c>
      <c r="N469">
        <v>378</v>
      </c>
      <c r="O469" t="s">
        <v>40</v>
      </c>
      <c r="P469">
        <v>6</v>
      </c>
      <c r="Q469">
        <f>N469/P469</f>
      </c>
      <c r="R469" s="1">
        <v>129</v>
      </c>
      <c r="S469" s="1">
        <v>129</v>
      </c>
      <c r="T469">
        <f>IF(R469=S469,"相符","不相符")</f>
      </c>
      <c r="U469" t="s">
        <v>56</v>
      </c>
      <c r="V469">
        <f>P469*R469</f>
      </c>
      <c r="W469">
        <f>Q469*V469</f>
      </c>
      <c r="X469">
        <v>540</v>
      </c>
      <c r="Y469" t="s">
        <v>982</v>
      </c>
      <c r="Z469" t="s">
        <v>1151</v>
      </c>
      <c r="AA469"/>
      <c r="AB469"/>
      <c r="AC469" t="s">
        <v>43</v>
      </c>
      <c r="AD469"/>
    </row>
    <row r="470">
      <c r="A470" t="s">
        <v>30</v>
      </c>
      <c r="B470" t="s">
        <v>189</v>
      </c>
      <c r="C470" t="s">
        <v>1175</v>
      </c>
      <c r="D470" t="s">
        <v>262</v>
      </c>
      <c r="E470" t="s">
        <v>263</v>
      </c>
      <c r="F470" s="2">
        <v>46273</v>
      </c>
      <c r="G470">
        <v>1</v>
      </c>
      <c r="H470" t="s">
        <v>617</v>
      </c>
      <c r="I470" t="s">
        <v>618</v>
      </c>
      <c r="J470" t="s">
        <v>619</v>
      </c>
      <c r="K470" t="s">
        <v>419</v>
      </c>
      <c r="L470" t="s">
        <v>620</v>
      </c>
      <c r="M470">
        <v>15</v>
      </c>
      <c r="N470">
        <v>15</v>
      </c>
      <c r="O470" t="s">
        <v>84</v>
      </c>
      <c r="P470">
        <v>1</v>
      </c>
      <c r="Q470">
        <f>N470/P470</f>
      </c>
      <c r="R470" s="1">
        <v>1231</v>
      </c>
      <c r="S470" s="1">
        <v>1231</v>
      </c>
      <c r="T470">
        <f>IF(R470=S470,"相符","不相符")</f>
      </c>
      <c r="U470"/>
      <c r="V470">
        <f>P470*R470</f>
      </c>
      <c r="W470">
        <f>Q470*V470</f>
      </c>
      <c r="X470">
        <v>1095</v>
      </c>
      <c r="Y470" t="s">
        <v>1176</v>
      </c>
      <c r="Z470" t="s">
        <v>1177</v>
      </c>
      <c r="AA470"/>
      <c r="AB470"/>
      <c r="AC470" t="s">
        <v>49</v>
      </c>
      <c r="AD470"/>
    </row>
    <row r="471">
      <c r="A471" t="s">
        <v>30</v>
      </c>
      <c r="B471" t="s">
        <v>189</v>
      </c>
      <c r="C471" t="s">
        <v>1175</v>
      </c>
      <c r="D471" t="s">
        <v>262</v>
      </c>
      <c r="E471" t="s">
        <v>263</v>
      </c>
      <c r="F471" s="2">
        <v>46273</v>
      </c>
      <c r="G471">
        <v>2</v>
      </c>
      <c r="H471" t="s">
        <v>1068</v>
      </c>
      <c r="I471" t="s">
        <v>1069</v>
      </c>
      <c r="J471" t="s">
        <v>666</v>
      </c>
      <c r="K471" t="s">
        <v>419</v>
      </c>
      <c r="L471" t="s">
        <v>1070</v>
      </c>
      <c r="M471">
        <v>15</v>
      </c>
      <c r="N471">
        <v>15</v>
      </c>
      <c r="O471" t="s">
        <v>84</v>
      </c>
      <c r="P471">
        <v>1</v>
      </c>
      <c r="Q471">
        <f>N471/P471</f>
      </c>
      <c r="R471" s="1">
        <v>1175</v>
      </c>
      <c r="S471" s="1">
        <v>1175</v>
      </c>
      <c r="T471">
        <f>IF(R471=S471,"相符","不相符")</f>
      </c>
      <c r="U471"/>
      <c r="V471">
        <f>P471*R471</f>
      </c>
      <c r="W471">
        <f>Q471*V471</f>
      </c>
      <c r="X471">
        <v>1095</v>
      </c>
      <c r="Y471" t="s">
        <v>1176</v>
      </c>
      <c r="Z471" t="s">
        <v>1177</v>
      </c>
      <c r="AA471"/>
      <c r="AB471"/>
      <c r="AC471" t="s">
        <v>49</v>
      </c>
      <c r="AD471"/>
    </row>
    <row r="472">
      <c r="A472" t="s">
        <v>30</v>
      </c>
      <c r="B472" t="s">
        <v>189</v>
      </c>
      <c r="C472" t="s">
        <v>1175</v>
      </c>
      <c r="D472" t="s">
        <v>262</v>
      </c>
      <c r="E472" t="s">
        <v>263</v>
      </c>
      <c r="F472" s="2">
        <v>46273</v>
      </c>
      <c r="G472">
        <v>3</v>
      </c>
      <c r="H472" t="s">
        <v>1074</v>
      </c>
      <c r="I472" t="s">
        <v>1075</v>
      </c>
      <c r="J472" t="s">
        <v>649</v>
      </c>
      <c r="K472" t="s">
        <v>419</v>
      </c>
      <c r="L472" t="s">
        <v>1076</v>
      </c>
      <c r="M472">
        <v>10</v>
      </c>
      <c r="N472">
        <v>10</v>
      </c>
      <c r="O472" t="s">
        <v>84</v>
      </c>
      <c r="P472">
        <v>1</v>
      </c>
      <c r="Q472">
        <f>N472/P472</f>
      </c>
      <c r="R472" s="1">
        <v>1175</v>
      </c>
      <c r="S472" s="1">
        <v>1175</v>
      </c>
      <c r="T472">
        <f>IF(R472=S472,"相符","不相符")</f>
      </c>
      <c r="U472"/>
      <c r="V472">
        <f>P472*R472</f>
      </c>
      <c r="W472">
        <f>Q472*V472</f>
      </c>
      <c r="X472">
        <v>1095</v>
      </c>
      <c r="Y472" t="s">
        <v>1176</v>
      </c>
      <c r="Z472" t="s">
        <v>1177</v>
      </c>
      <c r="AA472"/>
      <c r="AB472"/>
      <c r="AC472" t="s">
        <v>49</v>
      </c>
      <c r="AD472"/>
    </row>
    <row r="473">
      <c r="A473" t="s">
        <v>30</v>
      </c>
      <c r="B473" t="s">
        <v>189</v>
      </c>
      <c r="C473" t="s">
        <v>1175</v>
      </c>
      <c r="D473" t="s">
        <v>262</v>
      </c>
      <c r="E473" t="s">
        <v>263</v>
      </c>
      <c r="F473" s="2">
        <v>46273</v>
      </c>
      <c r="G473">
        <v>4</v>
      </c>
      <c r="H473" t="s">
        <v>1178</v>
      </c>
      <c r="I473" t="s">
        <v>1179</v>
      </c>
      <c r="J473" t="s">
        <v>1180</v>
      </c>
      <c r="K473" t="s">
        <v>419</v>
      </c>
      <c r="L473" t="s">
        <v>1181</v>
      </c>
      <c r="M473">
        <v>10</v>
      </c>
      <c r="N473">
        <v>10</v>
      </c>
      <c r="O473" t="s">
        <v>84</v>
      </c>
      <c r="P473">
        <v>1</v>
      </c>
      <c r="Q473">
        <f>N473/P473</f>
      </c>
      <c r="R473" s="1">
        <v>1175</v>
      </c>
      <c r="S473" s="1">
        <v>1175</v>
      </c>
      <c r="T473">
        <f>IF(R473=S473,"相符","不相符")</f>
      </c>
      <c r="U473"/>
      <c r="V473">
        <f>P473*R473</f>
      </c>
      <c r="W473">
        <f>Q473*V473</f>
      </c>
      <c r="X473">
        <v>1095</v>
      </c>
      <c r="Y473" t="s">
        <v>1176</v>
      </c>
      <c r="Z473" t="s">
        <v>1182</v>
      </c>
      <c r="AA473"/>
      <c r="AB473"/>
      <c r="AC473" t="s">
        <v>49</v>
      </c>
      <c r="AD473"/>
    </row>
    <row r="474">
      <c r="A474" t="s">
        <v>30</v>
      </c>
      <c r="B474" t="s">
        <v>189</v>
      </c>
      <c r="C474" t="s">
        <v>1175</v>
      </c>
      <c r="D474" t="s">
        <v>262</v>
      </c>
      <c r="E474" t="s">
        <v>263</v>
      </c>
      <c r="F474" s="2">
        <v>46273</v>
      </c>
      <c r="G474">
        <v>5</v>
      </c>
      <c r="H474" t="s">
        <v>632</v>
      </c>
      <c r="I474" t="s">
        <v>633</v>
      </c>
      <c r="J474" t="s">
        <v>634</v>
      </c>
      <c r="K474" t="s">
        <v>419</v>
      </c>
      <c r="L474" t="s">
        <v>635</v>
      </c>
      <c r="M474">
        <v>6</v>
      </c>
      <c r="N474">
        <v>6</v>
      </c>
      <c r="O474" t="s">
        <v>84</v>
      </c>
      <c r="P474">
        <v>1</v>
      </c>
      <c r="Q474">
        <f>N474/P474</f>
      </c>
      <c r="R474" s="1">
        <v>1231</v>
      </c>
      <c r="S474" s="1">
        <v>1231</v>
      </c>
      <c r="T474">
        <f>IF(R474=S474,"相符","不相符")</f>
      </c>
      <c r="U474"/>
      <c r="V474">
        <f>P474*R474</f>
      </c>
      <c r="W474">
        <f>Q474*V474</f>
      </c>
      <c r="X474">
        <v>1095</v>
      </c>
      <c r="Y474" t="s">
        <v>1176</v>
      </c>
      <c r="Z474" t="s">
        <v>1182</v>
      </c>
      <c r="AA474"/>
      <c r="AB474"/>
      <c r="AC474" t="s">
        <v>49</v>
      </c>
      <c r="AD474"/>
    </row>
    <row r="475">
      <c r="A475" t="s">
        <v>30</v>
      </c>
      <c r="B475" t="s">
        <v>189</v>
      </c>
      <c r="C475" t="s">
        <v>1183</v>
      </c>
      <c r="D475" t="s">
        <v>478</v>
      </c>
      <c r="E475" t="s">
        <v>479</v>
      </c>
      <c r="F475" s="2">
        <v>46273</v>
      </c>
      <c r="G475">
        <v>1</v>
      </c>
      <c r="H475" t="s">
        <v>1184</v>
      </c>
      <c r="I475" t="s">
        <v>1185</v>
      </c>
      <c r="J475" t="s">
        <v>1185</v>
      </c>
      <c r="K475" t="s">
        <v>195</v>
      </c>
      <c r="L475" t="s">
        <v>1186</v>
      </c>
      <c r="M475">
        <v>432</v>
      </c>
      <c r="N475">
        <v>336</v>
      </c>
      <c r="O475" t="s">
        <v>197</v>
      </c>
      <c r="P475">
        <v>24</v>
      </c>
      <c r="Q475">
        <f>N475/P475</f>
      </c>
      <c r="R475" s="1">
        <v>54</v>
      </c>
      <c r="S475" s="1">
        <v>54</v>
      </c>
      <c r="T475">
        <f>IF(R475=S475,"相符","不相符")</f>
      </c>
      <c r="U475"/>
      <c r="V475">
        <f>P475*R475</f>
      </c>
      <c r="W475">
        <f>Q475*V475</f>
      </c>
      <c r="X475">
        <v>1095</v>
      </c>
      <c r="Y475" t="s">
        <v>1176</v>
      </c>
      <c r="Z475" t="s">
        <v>1187</v>
      </c>
      <c r="AA475"/>
      <c r="AB475"/>
      <c r="AC475" t="s">
        <v>49</v>
      </c>
      <c r="AD475"/>
    </row>
    <row r="476">
      <c r="A476" t="s">
        <v>30</v>
      </c>
      <c r="B476" t="s">
        <v>189</v>
      </c>
      <c r="C476" t="s">
        <v>1188</v>
      </c>
      <c r="D476" t="s">
        <v>478</v>
      </c>
      <c r="E476" t="s">
        <v>479</v>
      </c>
      <c r="F476" s="2">
        <v>46273</v>
      </c>
      <c r="G476">
        <v>1</v>
      </c>
      <c r="H476" t="s">
        <v>1189</v>
      </c>
      <c r="I476" t="s">
        <v>1190</v>
      </c>
      <c r="J476" t="s">
        <v>1190</v>
      </c>
      <c r="K476" t="s">
        <v>195</v>
      </c>
      <c r="L476" t="s">
        <v>1191</v>
      </c>
      <c r="M476">
        <v>384</v>
      </c>
      <c r="N476">
        <v>48</v>
      </c>
      <c r="O476" t="s">
        <v>197</v>
      </c>
      <c r="P476">
        <v>24</v>
      </c>
      <c r="Q476">
        <f>N476/P476</f>
      </c>
      <c r="R476" s="1">
        <v>40</v>
      </c>
      <c r="S476" s="1">
        <v>40</v>
      </c>
      <c r="T476">
        <f>IF(R476=S476,"相符","不相符")</f>
      </c>
      <c r="U476"/>
      <c r="V476">
        <f>P476*R476</f>
      </c>
      <c r="W476">
        <f>Q476*V476</f>
      </c>
      <c r="X476">
        <v>1095</v>
      </c>
      <c r="Y476" t="s">
        <v>1192</v>
      </c>
      <c r="Z476" t="s">
        <v>1193</v>
      </c>
      <c r="AA476"/>
      <c r="AB476"/>
      <c r="AC476" t="s">
        <v>49</v>
      </c>
      <c r="AD476"/>
    </row>
    <row r="477">
      <c r="A477" t="s">
        <v>30</v>
      </c>
      <c r="B477" t="s">
        <v>189</v>
      </c>
      <c r="C477" t="s">
        <v>1188</v>
      </c>
      <c r="D477" t="s">
        <v>478</v>
      </c>
      <c r="E477" t="s">
        <v>479</v>
      </c>
      <c r="F477" s="2">
        <v>46273</v>
      </c>
      <c r="G477">
        <v>2</v>
      </c>
      <c r="H477" t="s">
        <v>1194</v>
      </c>
      <c r="I477" t="s">
        <v>1195</v>
      </c>
      <c r="J477" t="s">
        <v>1196</v>
      </c>
      <c r="K477" t="s">
        <v>657</v>
      </c>
      <c r="L477" t="s">
        <v>1197</v>
      </c>
      <c r="M477">
        <v>198</v>
      </c>
      <c r="N477">
        <v>180</v>
      </c>
      <c r="O477" t="s">
        <v>435</v>
      </c>
      <c r="P477">
        <v>20</v>
      </c>
      <c r="Q477">
        <f>N477/P477</f>
      </c>
      <c r="R477" s="1">
        <v>323</v>
      </c>
      <c r="S477" s="1">
        <v>323</v>
      </c>
      <c r="T477">
        <f>IF(R477=S477,"相符","不相符")</f>
      </c>
      <c r="U477"/>
      <c r="V477">
        <f>P477*R477</f>
      </c>
      <c r="W477">
        <f>Q477*V477</f>
      </c>
      <c r="X477">
        <v>1825</v>
      </c>
      <c r="Y477" t="s">
        <v>744</v>
      </c>
      <c r="Z477" t="s">
        <v>1193</v>
      </c>
      <c r="AA477"/>
      <c r="AB477"/>
      <c r="AC477" t="s">
        <v>49</v>
      </c>
      <c r="AD477"/>
    </row>
    <row r="478">
      <c r="A478" t="s">
        <v>30</v>
      </c>
      <c r="B478" t="s">
        <v>189</v>
      </c>
      <c r="C478" t="s">
        <v>1188</v>
      </c>
      <c r="D478" t="s">
        <v>478</v>
      </c>
      <c r="E478" t="s">
        <v>479</v>
      </c>
      <c r="F478" s="2">
        <v>46273</v>
      </c>
      <c r="G478">
        <v>3</v>
      </c>
      <c r="H478" t="s">
        <v>1198</v>
      </c>
      <c r="I478" t="s">
        <v>1199</v>
      </c>
      <c r="J478" t="s">
        <v>1199</v>
      </c>
      <c r="K478" t="s">
        <v>657</v>
      </c>
      <c r="L478" t="s">
        <v>1200</v>
      </c>
      <c r="M478">
        <v>526</v>
      </c>
      <c r="N478">
        <v>520</v>
      </c>
      <c r="O478" t="s">
        <v>435</v>
      </c>
      <c r="P478">
        <v>10</v>
      </c>
      <c r="Q478">
        <f>N478/P478</f>
      </c>
      <c r="R478" s="1">
        <v>557</v>
      </c>
      <c r="S478" s="1">
        <v>557</v>
      </c>
      <c r="T478">
        <f>IF(R478=S478,"相符","不相符")</f>
      </c>
      <c r="U478"/>
      <c r="V478">
        <f>P478*R478</f>
      </c>
      <c r="W478">
        <f>Q478*V478</f>
      </c>
      <c r="X478">
        <v>1825</v>
      </c>
      <c r="Y478" t="s">
        <v>744</v>
      </c>
      <c r="Z478" t="s">
        <v>1193</v>
      </c>
      <c r="AA478"/>
      <c r="AB478"/>
      <c r="AC478" t="s">
        <v>49</v>
      </c>
      <c r="AD478"/>
    </row>
    <row r="479">
      <c r="A479" t="s">
        <v>30</v>
      </c>
      <c r="B479" t="s">
        <v>189</v>
      </c>
      <c r="C479" t="s">
        <v>1188</v>
      </c>
      <c r="D479" t="s">
        <v>478</v>
      </c>
      <c r="E479" t="s">
        <v>479</v>
      </c>
      <c r="F479" s="2">
        <v>46273</v>
      </c>
      <c r="G479">
        <v>4</v>
      </c>
      <c r="H479" t="s">
        <v>1201</v>
      </c>
      <c r="I479" t="s">
        <v>1202</v>
      </c>
      <c r="J479" t="s">
        <v>1202</v>
      </c>
      <c r="K479" t="s">
        <v>657</v>
      </c>
      <c r="L479" t="s">
        <v>1203</v>
      </c>
      <c r="M479">
        <v>281</v>
      </c>
      <c r="N479">
        <v>276</v>
      </c>
      <c r="O479" t="s">
        <v>435</v>
      </c>
      <c r="P479">
        <v>6</v>
      </c>
      <c r="Q479">
        <f>N479/P479</f>
      </c>
      <c r="R479" s="1">
        <v>185</v>
      </c>
      <c r="S479" s="1">
        <v>185</v>
      </c>
      <c r="T479">
        <f>IF(R479=S479,"相符","不相符")</f>
      </c>
      <c r="U479"/>
      <c r="V479">
        <f>P479*R479</f>
      </c>
      <c r="W479">
        <f>Q479*V479</f>
      </c>
      <c r="X479">
        <v>1825</v>
      </c>
      <c r="Y479" t="s">
        <v>744</v>
      </c>
      <c r="Z479" t="s">
        <v>1193</v>
      </c>
      <c r="AA479"/>
      <c r="AB479"/>
      <c r="AC479" t="s">
        <v>49</v>
      </c>
      <c r="AD479"/>
    </row>
    <row r="480">
      <c r="A480" t="s">
        <v>30</v>
      </c>
      <c r="B480" t="s">
        <v>189</v>
      </c>
      <c r="C480" t="s">
        <v>1188</v>
      </c>
      <c r="D480" t="s">
        <v>478</v>
      </c>
      <c r="E480" t="s">
        <v>479</v>
      </c>
      <c r="F480" s="2">
        <v>46273</v>
      </c>
      <c r="G480">
        <v>5</v>
      </c>
      <c r="H480" t="s">
        <v>1204</v>
      </c>
      <c r="I480" t="s">
        <v>1205</v>
      </c>
      <c r="J480" t="s">
        <v>1205</v>
      </c>
      <c r="K480" t="s">
        <v>703</v>
      </c>
      <c r="L480" t="s">
        <v>1206</v>
      </c>
      <c r="M480">
        <v>899</v>
      </c>
      <c r="N480">
        <v>888</v>
      </c>
      <c r="O480" t="s">
        <v>435</v>
      </c>
      <c r="P480">
        <v>12</v>
      </c>
      <c r="Q480">
        <f>N480/P480</f>
      </c>
      <c r="R480" s="1">
        <v>99</v>
      </c>
      <c r="S480" s="1">
        <v>99</v>
      </c>
      <c r="T480">
        <f>IF(R480=S480,"相符","不相符")</f>
      </c>
      <c r="U480"/>
      <c r="V480">
        <f>P480*R480</f>
      </c>
      <c r="W480">
        <f>Q480*V480</f>
      </c>
      <c r="X480">
        <v>1095</v>
      </c>
      <c r="Y480" t="s">
        <v>1192</v>
      </c>
      <c r="Z480" t="s">
        <v>1193</v>
      </c>
      <c r="AA480"/>
      <c r="AB480"/>
      <c r="AC480" t="s">
        <v>49</v>
      </c>
      <c r="AD480"/>
    </row>
    <row r="481">
      <c r="A481" t="s">
        <v>30</v>
      </c>
      <c r="B481" t="s">
        <v>189</v>
      </c>
      <c r="C481" t="s">
        <v>1188</v>
      </c>
      <c r="D481" t="s">
        <v>478</v>
      </c>
      <c r="E481" t="s">
        <v>479</v>
      </c>
      <c r="F481" s="2">
        <v>46273</v>
      </c>
      <c r="G481">
        <v>6</v>
      </c>
      <c r="H481" t="s">
        <v>701</v>
      </c>
      <c r="I481" t="s">
        <v>702</v>
      </c>
      <c r="J481" t="s">
        <v>702</v>
      </c>
      <c r="K481" t="s">
        <v>703</v>
      </c>
      <c r="L481" t="s">
        <v>704</v>
      </c>
      <c r="M481">
        <v>235</v>
      </c>
      <c r="N481">
        <v>228</v>
      </c>
      <c r="O481" t="s">
        <v>435</v>
      </c>
      <c r="P481">
        <v>12</v>
      </c>
      <c r="Q481">
        <f>N481/P481</f>
      </c>
      <c r="R481" s="1">
        <v>99</v>
      </c>
      <c r="S481" s="1">
        <v>99</v>
      </c>
      <c r="T481">
        <f>IF(R481=S481,"相符","不相符")</f>
      </c>
      <c r="U481"/>
      <c r="V481">
        <f>P481*R481</f>
      </c>
      <c r="W481">
        <f>Q481*V481</f>
      </c>
      <c r="X481">
        <v>1095</v>
      </c>
      <c r="Y481" t="s">
        <v>1192</v>
      </c>
      <c r="Z481" t="s">
        <v>1193</v>
      </c>
      <c r="AA481"/>
      <c r="AB481"/>
      <c r="AC481" t="s">
        <v>49</v>
      </c>
      <c r="AD481"/>
    </row>
    <row r="482">
      <c r="A482" t="s">
        <v>30</v>
      </c>
      <c r="B482" t="s">
        <v>189</v>
      </c>
      <c r="C482" t="s">
        <v>1188</v>
      </c>
      <c r="D482" t="s">
        <v>478</v>
      </c>
      <c r="E482" t="s">
        <v>479</v>
      </c>
      <c r="F482" s="2">
        <v>46273</v>
      </c>
      <c r="G482">
        <v>7</v>
      </c>
      <c r="H482" t="s">
        <v>1207</v>
      </c>
      <c r="I482" t="s">
        <v>638</v>
      </c>
      <c r="J482" t="s">
        <v>638</v>
      </c>
      <c r="K482" t="s">
        <v>639</v>
      </c>
      <c r="L482" t="s">
        <v>1208</v>
      </c>
      <c r="M482">
        <v>900</v>
      </c>
      <c r="N482">
        <v>900</v>
      </c>
      <c r="O482" t="s">
        <v>177</v>
      </c>
      <c r="P482">
        <v>6</v>
      </c>
      <c r="Q482">
        <f>N482/P482</f>
      </c>
      <c r="R482" s="1">
        <v>193</v>
      </c>
      <c r="S482" s="1">
        <v>193</v>
      </c>
      <c r="T482">
        <f>IF(R482=S482,"相符","不相符")</f>
      </c>
      <c r="U482"/>
      <c r="V482">
        <f>P482*R482</f>
      </c>
      <c r="W482">
        <f>Q482*V482</f>
      </c>
      <c r="X482">
        <v>730</v>
      </c>
      <c r="Y482" t="s">
        <v>1209</v>
      </c>
      <c r="Z482" t="s">
        <v>1193</v>
      </c>
      <c r="AA482"/>
      <c r="AB482"/>
      <c r="AC482" t="s">
        <v>49</v>
      </c>
      <c r="AD482"/>
    </row>
    <row r="483">
      <c r="A483" t="s">
        <v>30</v>
      </c>
      <c r="B483" t="s">
        <v>189</v>
      </c>
      <c r="C483" t="s">
        <v>1188</v>
      </c>
      <c r="D483" t="s">
        <v>478</v>
      </c>
      <c r="E483" t="s">
        <v>479</v>
      </c>
      <c r="F483" s="2">
        <v>46273</v>
      </c>
      <c r="G483">
        <v>8</v>
      </c>
      <c r="H483" t="s">
        <v>1210</v>
      </c>
      <c r="I483" t="s">
        <v>1211</v>
      </c>
      <c r="J483" t="s">
        <v>1211</v>
      </c>
      <c r="K483" t="s">
        <v>639</v>
      </c>
      <c r="L483" t="s">
        <v>1212</v>
      </c>
      <c r="M483">
        <v>1694</v>
      </c>
      <c r="N483">
        <v>1692</v>
      </c>
      <c r="O483" t="s">
        <v>177</v>
      </c>
      <c r="P483">
        <v>6</v>
      </c>
      <c r="Q483">
        <f>N483/P483</f>
      </c>
      <c r="R483" s="1">
        <v>193</v>
      </c>
      <c r="S483" s="1">
        <v>193</v>
      </c>
      <c r="T483">
        <f>IF(R483=S483,"相符","不相符")</f>
      </c>
      <c r="U483"/>
      <c r="V483">
        <f>P483*R483</f>
      </c>
      <c r="W483">
        <f>Q483*V483</f>
      </c>
      <c r="X483">
        <v>730</v>
      </c>
      <c r="Y483" t="s">
        <v>1209</v>
      </c>
      <c r="Z483" t="s">
        <v>1193</v>
      </c>
      <c r="AA483"/>
      <c r="AB483"/>
      <c r="AC483" t="s">
        <v>49</v>
      </c>
      <c r="AD483"/>
    </row>
    <row r="484">
      <c r="A484" t="s">
        <v>30</v>
      </c>
      <c r="B484" t="s">
        <v>189</v>
      </c>
      <c r="C484" t="s">
        <v>1188</v>
      </c>
      <c r="D484" t="s">
        <v>478</v>
      </c>
      <c r="E484" t="s">
        <v>479</v>
      </c>
      <c r="F484" s="2">
        <v>46273</v>
      </c>
      <c r="G484">
        <v>9</v>
      </c>
      <c r="H484" t="s">
        <v>680</v>
      </c>
      <c r="I484" t="s">
        <v>681</v>
      </c>
      <c r="J484" t="s">
        <v>681</v>
      </c>
      <c r="K484" t="s">
        <v>195</v>
      </c>
      <c r="L484" t="s">
        <v>682</v>
      </c>
      <c r="M484">
        <v>369</v>
      </c>
      <c r="N484">
        <v>369</v>
      </c>
      <c r="O484" t="s">
        <v>683</v>
      </c>
      <c r="P484">
        <v>1</v>
      </c>
      <c r="Q484">
        <f>N484/P484</f>
      </c>
      <c r="R484" s="1">
        <v>495</v>
      </c>
      <c r="S484" s="1">
        <v>495</v>
      </c>
      <c r="T484">
        <f>IF(R484=S484,"相符","不相符")</f>
      </c>
      <c r="U484"/>
      <c r="V484">
        <f>P484*R484</f>
      </c>
      <c r="W484">
        <f>Q484*V484</f>
      </c>
      <c r="X484">
        <v>1095</v>
      </c>
      <c r="Y484" t="s">
        <v>1176</v>
      </c>
      <c r="Z484" t="s">
        <v>1193</v>
      </c>
      <c r="AA484"/>
      <c r="AB484"/>
      <c r="AC484" t="s">
        <v>49</v>
      </c>
      <c r="AD484"/>
    </row>
    <row r="485">
      <c r="A485" t="s">
        <v>30</v>
      </c>
      <c r="B485" t="s">
        <v>189</v>
      </c>
      <c r="C485" t="s">
        <v>1188</v>
      </c>
      <c r="D485" t="s">
        <v>478</v>
      </c>
      <c r="E485" t="s">
        <v>479</v>
      </c>
      <c r="F485" s="2">
        <v>46273</v>
      </c>
      <c r="G485">
        <v>10</v>
      </c>
      <c r="H485" t="s">
        <v>1213</v>
      </c>
      <c r="I485" t="s">
        <v>1214</v>
      </c>
      <c r="J485" t="s">
        <v>1214</v>
      </c>
      <c r="K485" t="s">
        <v>195</v>
      </c>
      <c r="L485" t="s">
        <v>1215</v>
      </c>
      <c r="M485">
        <v>104</v>
      </c>
      <c r="N485">
        <v>104</v>
      </c>
      <c r="O485" t="s">
        <v>683</v>
      </c>
      <c r="P485">
        <v>1</v>
      </c>
      <c r="Q485">
        <f>N485/P485</f>
      </c>
      <c r="R485" s="1">
        <v>495</v>
      </c>
      <c r="S485" s="1">
        <v>495</v>
      </c>
      <c r="T485">
        <f>IF(R485=S485,"相符","不相符")</f>
      </c>
      <c r="U485"/>
      <c r="V485">
        <f>P485*R485</f>
      </c>
      <c r="W485">
        <f>Q485*V485</f>
      </c>
      <c r="X485">
        <v>1095</v>
      </c>
      <c r="Y485" t="s">
        <v>1176</v>
      </c>
      <c r="Z485" t="s">
        <v>1193</v>
      </c>
      <c r="AA485"/>
      <c r="AB485"/>
      <c r="AC485" t="s">
        <v>49</v>
      </c>
      <c r="AD485"/>
    </row>
    <row r="486">
      <c r="A486" t="s">
        <v>30</v>
      </c>
      <c r="B486" t="s">
        <v>189</v>
      </c>
      <c r="C486" t="s">
        <v>1216</v>
      </c>
      <c r="D486" t="s">
        <v>262</v>
      </c>
      <c r="E486" t="s">
        <v>263</v>
      </c>
      <c r="F486" s="2">
        <v>46273</v>
      </c>
      <c r="G486">
        <v>1</v>
      </c>
      <c r="H486" t="s">
        <v>1217</v>
      </c>
      <c r="I486" t="s">
        <v>1218</v>
      </c>
      <c r="J486" t="s">
        <v>1218</v>
      </c>
      <c r="K486" t="s">
        <v>195</v>
      </c>
      <c r="L486" t="s">
        <v>1219</v>
      </c>
      <c r="M486">
        <v>119</v>
      </c>
      <c r="N486">
        <v>39</v>
      </c>
      <c r="O486" t="s">
        <v>683</v>
      </c>
      <c r="P486">
        <v>1</v>
      </c>
      <c r="Q486">
        <f>N486/P486</f>
      </c>
      <c r="R486" s="1">
        <v>465</v>
      </c>
      <c r="S486" s="1">
        <v>465</v>
      </c>
      <c r="T486">
        <f>IF(R486=S486,"相符","不相符")</f>
      </c>
      <c r="U486"/>
      <c r="V486">
        <f>P486*R486</f>
      </c>
      <c r="W486">
        <f>Q486*V486</f>
      </c>
      <c r="X486">
        <v>1095</v>
      </c>
      <c r="Y486" t="s">
        <v>1176</v>
      </c>
      <c r="Z486" t="s">
        <v>1193</v>
      </c>
      <c r="AA486"/>
      <c r="AB486"/>
      <c r="AC486" t="s">
        <v>49</v>
      </c>
      <c r="AD486"/>
    </row>
    <row r="487">
      <c r="A487" t="s">
        <v>30</v>
      </c>
      <c r="B487" t="s">
        <v>189</v>
      </c>
      <c r="C487" t="s">
        <v>1220</v>
      </c>
      <c r="D487" t="s">
        <v>478</v>
      </c>
      <c r="E487" t="s">
        <v>479</v>
      </c>
      <c r="F487" s="2">
        <v>46273</v>
      </c>
      <c r="G487">
        <v>1</v>
      </c>
      <c r="H487" t="s">
        <v>1221</v>
      </c>
      <c r="I487" t="s">
        <v>1222</v>
      </c>
      <c r="J487" t="s">
        <v>1222</v>
      </c>
      <c r="K487" t="s">
        <v>734</v>
      </c>
      <c r="L487" t="s">
        <v>1223</v>
      </c>
      <c r="M487">
        <v>316</v>
      </c>
      <c r="N487">
        <v>312</v>
      </c>
      <c r="O487" t="s">
        <v>240</v>
      </c>
      <c r="P487">
        <v>6</v>
      </c>
      <c r="Q487">
        <f>N487/P487</f>
      </c>
      <c r="R487" s="1">
        <v>264</v>
      </c>
      <c r="S487" s="1">
        <v>264</v>
      </c>
      <c r="T487">
        <f>IF(R487=S487,"相符","不相符")</f>
      </c>
      <c r="U487"/>
      <c r="V487">
        <f>P487*R487</f>
      </c>
      <c r="W487">
        <f>Q487*V487</f>
      </c>
      <c r="X487">
        <v>1095</v>
      </c>
      <c r="Y487" t="s">
        <v>1192</v>
      </c>
      <c r="Z487" t="s">
        <v>1224</v>
      </c>
      <c r="AA487"/>
      <c r="AB487"/>
      <c r="AC487" t="s">
        <v>49</v>
      </c>
      <c r="AD487"/>
    </row>
    <row r="488">
      <c r="A488" t="s">
        <v>30</v>
      </c>
      <c r="B488" t="s">
        <v>189</v>
      </c>
      <c r="C488" t="s">
        <v>1220</v>
      </c>
      <c r="D488" t="s">
        <v>478</v>
      </c>
      <c r="E488" t="s">
        <v>479</v>
      </c>
      <c r="F488" s="2">
        <v>46273</v>
      </c>
      <c r="G488">
        <v>2</v>
      </c>
      <c r="H488" t="s">
        <v>1225</v>
      </c>
      <c r="I488" t="s">
        <v>1226</v>
      </c>
      <c r="J488" t="s">
        <v>1226</v>
      </c>
      <c r="K488" t="s">
        <v>734</v>
      </c>
      <c r="L488" t="s">
        <v>1227</v>
      </c>
      <c r="M488">
        <v>222</v>
      </c>
      <c r="N488">
        <v>222</v>
      </c>
      <c r="O488" t="s">
        <v>240</v>
      </c>
      <c r="P488">
        <v>6</v>
      </c>
      <c r="Q488">
        <f>N488/P488</f>
      </c>
      <c r="R488" s="1">
        <v>365</v>
      </c>
      <c r="S488" s="1">
        <v>365</v>
      </c>
      <c r="T488">
        <f>IF(R488=S488,"相符","不相符")</f>
      </c>
      <c r="U488"/>
      <c r="V488">
        <f>P488*R488</f>
      </c>
      <c r="W488">
        <f>Q488*V488</f>
      </c>
      <c r="X488">
        <v>1095</v>
      </c>
      <c r="Y488" t="s">
        <v>1228</v>
      </c>
      <c r="Z488" t="s">
        <v>1224</v>
      </c>
      <c r="AA488"/>
      <c r="AB488"/>
      <c r="AC488" t="s">
        <v>49</v>
      </c>
      <c r="AD488"/>
    </row>
    <row r="489">
      <c r="A489" t="s">
        <v>30</v>
      </c>
      <c r="B489" t="s">
        <v>189</v>
      </c>
      <c r="C489" t="s">
        <v>1220</v>
      </c>
      <c r="D489" t="s">
        <v>478</v>
      </c>
      <c r="E489" t="s">
        <v>479</v>
      </c>
      <c r="F489" s="2">
        <v>46273</v>
      </c>
      <c r="G489">
        <v>3</v>
      </c>
      <c r="H489" t="s">
        <v>1229</v>
      </c>
      <c r="I489" t="s">
        <v>1230</v>
      </c>
      <c r="J489" t="s">
        <v>1230</v>
      </c>
      <c r="K489" t="s">
        <v>734</v>
      </c>
      <c r="L489" t="s">
        <v>1231</v>
      </c>
      <c r="M489">
        <v>120</v>
      </c>
      <c r="N489">
        <v>120</v>
      </c>
      <c r="O489" t="s">
        <v>240</v>
      </c>
      <c r="P489">
        <v>12</v>
      </c>
      <c r="Q489">
        <f>N489/P489</f>
      </c>
      <c r="R489" s="1">
        <v>196</v>
      </c>
      <c r="S489" s="1">
        <v>196</v>
      </c>
      <c r="T489">
        <f>IF(R489=S489,"相符","不相符")</f>
      </c>
      <c r="U489"/>
      <c r="V489">
        <f>P489*R489</f>
      </c>
      <c r="W489">
        <f>Q489*V489</f>
      </c>
      <c r="X489">
        <v>1095</v>
      </c>
      <c r="Y489" t="s">
        <v>1192</v>
      </c>
      <c r="Z489" t="s">
        <v>1224</v>
      </c>
      <c r="AA489"/>
      <c r="AB489"/>
      <c r="AC489" t="s">
        <v>49</v>
      </c>
      <c r="AD489"/>
    </row>
    <row r="490">
      <c r="A490" t="s">
        <v>30</v>
      </c>
      <c r="B490" t="s">
        <v>189</v>
      </c>
      <c r="C490" t="s">
        <v>1220</v>
      </c>
      <c r="D490" t="s">
        <v>478</v>
      </c>
      <c r="E490" t="s">
        <v>479</v>
      </c>
      <c r="F490" s="2">
        <v>46273</v>
      </c>
      <c r="G490">
        <v>4</v>
      </c>
      <c r="H490" t="s">
        <v>732</v>
      </c>
      <c r="I490" t="s">
        <v>733</v>
      </c>
      <c r="J490" t="s">
        <v>733</v>
      </c>
      <c r="K490" t="s">
        <v>734</v>
      </c>
      <c r="L490" t="s">
        <v>735</v>
      </c>
      <c r="M490">
        <v>351</v>
      </c>
      <c r="N490">
        <v>348</v>
      </c>
      <c r="O490" t="s">
        <v>240</v>
      </c>
      <c r="P490">
        <v>12</v>
      </c>
      <c r="Q490">
        <f>N490/P490</f>
      </c>
      <c r="R490" s="1">
        <v>355</v>
      </c>
      <c r="S490" s="1">
        <v>355</v>
      </c>
      <c r="T490">
        <f>IF(R490=S490,"相符","不相符")</f>
      </c>
      <c r="U490"/>
      <c r="V490">
        <f>P490*R490</f>
      </c>
      <c r="W490">
        <f>Q490*V490</f>
      </c>
      <c r="X490">
        <v>1095</v>
      </c>
      <c r="Y490" t="s">
        <v>1192</v>
      </c>
      <c r="Z490" t="s">
        <v>1224</v>
      </c>
      <c r="AA490"/>
      <c r="AB490"/>
      <c r="AC490" t="s">
        <v>49</v>
      </c>
      <c r="AD490"/>
    </row>
    <row r="491">
      <c r="A491" t="s">
        <v>30</v>
      </c>
      <c r="B491" t="s">
        <v>189</v>
      </c>
      <c r="C491" t="s">
        <v>1220</v>
      </c>
      <c r="D491" t="s">
        <v>478</v>
      </c>
      <c r="E491" t="s">
        <v>479</v>
      </c>
      <c r="F491" s="2">
        <v>46273</v>
      </c>
      <c r="G491">
        <v>5</v>
      </c>
      <c r="H491" t="s">
        <v>1232</v>
      </c>
      <c r="I491" t="s">
        <v>1233</v>
      </c>
      <c r="J491" t="s">
        <v>1233</v>
      </c>
      <c r="K491" t="s">
        <v>734</v>
      </c>
      <c r="L491" t="s">
        <v>1234</v>
      </c>
      <c r="M491">
        <v>285</v>
      </c>
      <c r="N491">
        <v>276</v>
      </c>
      <c r="O491" t="s">
        <v>240</v>
      </c>
      <c r="P491">
        <v>12</v>
      </c>
      <c r="Q491">
        <f>N491/P491</f>
      </c>
      <c r="R491" s="1">
        <v>355</v>
      </c>
      <c r="S491" s="1">
        <v>355</v>
      </c>
      <c r="T491">
        <f>IF(R491=S491,"相符","不相符")</f>
      </c>
      <c r="U491"/>
      <c r="V491">
        <f>P491*R491</f>
      </c>
      <c r="W491">
        <f>Q491*V491</f>
      </c>
      <c r="X491">
        <v>1095</v>
      </c>
      <c r="Y491" t="s">
        <v>1192</v>
      </c>
      <c r="Z491" t="s">
        <v>1224</v>
      </c>
      <c r="AA491"/>
      <c r="AB491"/>
      <c r="AC491" t="s">
        <v>49</v>
      </c>
      <c r="AD491"/>
    </row>
    <row r="492">
      <c r="A492" t="s">
        <v>30</v>
      </c>
      <c r="B492" t="s">
        <v>189</v>
      </c>
      <c r="C492" t="s">
        <v>1220</v>
      </c>
      <c r="D492" t="s">
        <v>478</v>
      </c>
      <c r="E492" t="s">
        <v>479</v>
      </c>
      <c r="F492" s="2">
        <v>46273</v>
      </c>
      <c r="G492">
        <v>6</v>
      </c>
      <c r="H492" t="s">
        <v>1235</v>
      </c>
      <c r="I492" t="s">
        <v>1236</v>
      </c>
      <c r="J492" t="s">
        <v>1236</v>
      </c>
      <c r="K492" t="s">
        <v>734</v>
      </c>
      <c r="L492" t="s">
        <v>1237</v>
      </c>
      <c r="M492">
        <v>248</v>
      </c>
      <c r="N492">
        <v>240</v>
      </c>
      <c r="O492" t="s">
        <v>240</v>
      </c>
      <c r="P492">
        <v>12</v>
      </c>
      <c r="Q492">
        <f>N492/P492</f>
      </c>
      <c r="R492" s="1">
        <v>502</v>
      </c>
      <c r="S492" s="1">
        <v>502</v>
      </c>
      <c r="T492">
        <f>IF(R492=S492,"相符","不相符")</f>
      </c>
      <c r="U492"/>
      <c r="V492">
        <f>P492*R492</f>
      </c>
      <c r="W492">
        <f>Q492*V492</f>
      </c>
      <c r="X492">
        <v>1095</v>
      </c>
      <c r="Y492" t="s">
        <v>1192</v>
      </c>
      <c r="Z492" t="s">
        <v>1224</v>
      </c>
      <c r="AA492"/>
      <c r="AB492"/>
      <c r="AC492" t="s">
        <v>49</v>
      </c>
      <c r="AD492"/>
    </row>
    <row r="493">
      <c r="A493" t="s">
        <v>30</v>
      </c>
      <c r="B493" t="s">
        <v>189</v>
      </c>
      <c r="C493" t="s">
        <v>1220</v>
      </c>
      <c r="D493" t="s">
        <v>478</v>
      </c>
      <c r="E493" t="s">
        <v>479</v>
      </c>
      <c r="F493" s="2">
        <v>46273</v>
      </c>
      <c r="G493">
        <v>7</v>
      </c>
      <c r="H493" t="s">
        <v>737</v>
      </c>
      <c r="I493" t="s">
        <v>738</v>
      </c>
      <c r="J493" t="s">
        <v>738</v>
      </c>
      <c r="K493" t="s">
        <v>734</v>
      </c>
      <c r="L493" t="s">
        <v>739</v>
      </c>
      <c r="M493">
        <v>84</v>
      </c>
      <c r="N493">
        <v>84</v>
      </c>
      <c r="O493" t="s">
        <v>683</v>
      </c>
      <c r="P493">
        <v>12</v>
      </c>
      <c r="Q493">
        <f>N493/P493</f>
      </c>
      <c r="R493" s="1">
        <v>726</v>
      </c>
      <c r="S493" s="1">
        <v>726</v>
      </c>
      <c r="T493">
        <f>IF(R493=S493,"相符","不相符")</f>
      </c>
      <c r="U493"/>
      <c r="V493">
        <f>P493*R493</f>
      </c>
      <c r="W493">
        <f>Q493*V493</f>
      </c>
      <c r="X493">
        <v>1095</v>
      </c>
      <c r="Y493" t="s">
        <v>1192</v>
      </c>
      <c r="Z493" t="s">
        <v>1224</v>
      </c>
      <c r="AA493"/>
      <c r="AB493"/>
      <c r="AC493" t="s">
        <v>49</v>
      </c>
      <c r="AD493"/>
    </row>
    <row r="494">
      <c r="A494" t="s">
        <v>30</v>
      </c>
      <c r="B494" t="s">
        <v>189</v>
      </c>
      <c r="C494" t="s">
        <v>1220</v>
      </c>
      <c r="D494" t="s">
        <v>478</v>
      </c>
      <c r="E494" t="s">
        <v>479</v>
      </c>
      <c r="F494" s="2">
        <v>46273</v>
      </c>
      <c r="G494">
        <v>8</v>
      </c>
      <c r="H494" t="s">
        <v>1238</v>
      </c>
      <c r="I494" t="s">
        <v>1239</v>
      </c>
      <c r="J494" t="s">
        <v>1239</v>
      </c>
      <c r="K494" t="s">
        <v>734</v>
      </c>
      <c r="L494" t="s">
        <v>1240</v>
      </c>
      <c r="M494">
        <v>264</v>
      </c>
      <c r="N494">
        <v>264</v>
      </c>
      <c r="O494" t="s">
        <v>240</v>
      </c>
      <c r="P494">
        <v>6</v>
      </c>
      <c r="Q494">
        <f>N494/P494</f>
      </c>
      <c r="R494" s="1">
        <v>263</v>
      </c>
      <c r="S494" s="1">
        <v>263</v>
      </c>
      <c r="T494">
        <f>IF(R494=S494,"相符","不相符")</f>
      </c>
      <c r="U494"/>
      <c r="V494">
        <f>P494*R494</f>
      </c>
      <c r="W494">
        <f>Q494*V494</f>
      </c>
      <c r="X494">
        <v>1095</v>
      </c>
      <c r="Y494" t="s">
        <v>1176</v>
      </c>
      <c r="Z494" t="s">
        <v>1224</v>
      </c>
      <c r="AA494"/>
      <c r="AB494"/>
      <c r="AC494" t="s">
        <v>49</v>
      </c>
      <c r="AD494"/>
    </row>
    <row r="495">
      <c r="A495" t="s">
        <v>30</v>
      </c>
      <c r="B495" t="s">
        <v>189</v>
      </c>
      <c r="C495" t="s">
        <v>1220</v>
      </c>
      <c r="D495" t="s">
        <v>478</v>
      </c>
      <c r="E495" t="s">
        <v>479</v>
      </c>
      <c r="F495" s="2">
        <v>46273</v>
      </c>
      <c r="G495">
        <v>9</v>
      </c>
      <c r="H495" t="s">
        <v>1241</v>
      </c>
      <c r="I495" t="s">
        <v>1242</v>
      </c>
      <c r="J495" t="s">
        <v>1242</v>
      </c>
      <c r="K495" t="s">
        <v>734</v>
      </c>
      <c r="L495" t="s">
        <v>1243</v>
      </c>
      <c r="M495">
        <v>187</v>
      </c>
      <c r="N495">
        <v>180</v>
      </c>
      <c r="O495" t="s">
        <v>240</v>
      </c>
      <c r="P495">
        <v>12</v>
      </c>
      <c r="Q495">
        <f>N495/P495</f>
      </c>
      <c r="R495" s="1">
        <v>280</v>
      </c>
      <c r="S495" s="1">
        <v>280</v>
      </c>
      <c r="T495">
        <f>IF(R495=S495,"相符","不相符")</f>
      </c>
      <c r="U495"/>
      <c r="V495">
        <f>P495*R495</f>
      </c>
      <c r="W495">
        <f>Q495*V495</f>
      </c>
      <c r="X495">
        <v>1095</v>
      </c>
      <c r="Y495" t="s">
        <v>1192</v>
      </c>
      <c r="Z495" t="s">
        <v>1224</v>
      </c>
      <c r="AA495"/>
      <c r="AB495"/>
      <c r="AC495" t="s">
        <v>49</v>
      </c>
      <c r="AD495"/>
    </row>
    <row r="496">
      <c r="A496" t="s">
        <v>30</v>
      </c>
      <c r="B496" t="s">
        <v>254</v>
      </c>
      <c r="C496" t="s">
        <v>1244</v>
      </c>
      <c r="D496" t="s">
        <v>604</v>
      </c>
      <c r="E496" t="s">
        <v>605</v>
      </c>
      <c r="F496" s="2">
        <v>46273</v>
      </c>
      <c r="G496">
        <v>1</v>
      </c>
      <c r="H496" t="s">
        <v>825</v>
      </c>
      <c r="I496" t="s">
        <v>826</v>
      </c>
      <c r="J496" t="s">
        <v>827</v>
      </c>
      <c r="K496" t="s">
        <v>258</v>
      </c>
      <c r="L496" t="s">
        <v>828</v>
      </c>
      <c r="M496">
        <v>3760</v>
      </c>
      <c r="N496">
        <v>3760</v>
      </c>
      <c r="O496" t="s">
        <v>197</v>
      </c>
      <c r="P496">
        <v>8</v>
      </c>
      <c r="Q496">
        <f>N496/P496</f>
      </c>
      <c r="R496" s="1">
        <v>67</v>
      </c>
      <c r="S496" s="1">
        <v>67</v>
      </c>
      <c r="T496">
        <f>IF(R496=S496,"相符","不相符")</f>
      </c>
      <c r="U496" t="s">
        <v>829</v>
      </c>
      <c r="V496">
        <f>P496*R496</f>
      </c>
      <c r="W496">
        <f>Q496*V496</f>
      </c>
      <c r="X496">
        <v>1825</v>
      </c>
      <c r="Y496" t="s">
        <v>1245</v>
      </c>
      <c r="Z496" t="s">
        <v>1246</v>
      </c>
      <c r="AA496"/>
      <c r="AB496"/>
      <c r="AC496" t="s">
        <v>243</v>
      </c>
      <c r="AD496"/>
    </row>
    <row r="497">
      <c r="A497" t="s">
        <v>30</v>
      </c>
      <c r="B497" t="s">
        <v>254</v>
      </c>
      <c r="C497" t="s">
        <v>1247</v>
      </c>
      <c r="D497" t="s">
        <v>604</v>
      </c>
      <c r="E497" t="s">
        <v>605</v>
      </c>
      <c r="F497" s="2">
        <v>46273</v>
      </c>
      <c r="G497">
        <v>1</v>
      </c>
      <c r="H497" t="s">
        <v>1248</v>
      </c>
      <c r="I497" t="s">
        <v>1249</v>
      </c>
      <c r="J497" t="s">
        <v>1250</v>
      </c>
      <c r="K497" t="s">
        <v>491</v>
      </c>
      <c r="L497" t="s">
        <v>1251</v>
      </c>
      <c r="M497">
        <v>504</v>
      </c>
      <c r="N497">
        <v>504</v>
      </c>
      <c r="O497" t="s">
        <v>197</v>
      </c>
      <c r="P497">
        <v>8</v>
      </c>
      <c r="Q497">
        <f>N497/P497</f>
      </c>
      <c r="R497" s="1">
        <v>82</v>
      </c>
      <c r="S497" s="1">
        <v>82</v>
      </c>
      <c r="T497">
        <f>IF(R497=S497,"相符","不相符")</f>
      </c>
      <c r="U497" t="s">
        <v>1252</v>
      </c>
      <c r="V497">
        <f>P497*R497</f>
      </c>
      <c r="W497">
        <f>Q497*V497</f>
      </c>
      <c r="X497">
        <v>1825</v>
      </c>
      <c r="Y497" t="s">
        <v>1245</v>
      </c>
      <c r="Z497" t="s">
        <v>573</v>
      </c>
      <c r="AA497"/>
      <c r="AB497"/>
      <c r="AC497" t="s">
        <v>243</v>
      </c>
      <c r="AD497"/>
    </row>
    <row r="498">
      <c r="A498" t="s">
        <v>30</v>
      </c>
      <c r="B498" t="s">
        <v>254</v>
      </c>
      <c r="C498" t="s">
        <v>1247</v>
      </c>
      <c r="D498" t="s">
        <v>604</v>
      </c>
      <c r="E498" t="s">
        <v>605</v>
      </c>
      <c r="F498" s="2">
        <v>46273</v>
      </c>
      <c r="G498">
        <v>2</v>
      </c>
      <c r="H498" t="s">
        <v>1118</v>
      </c>
      <c r="I498" t="s">
        <v>1119</v>
      </c>
      <c r="J498" t="s">
        <v>1120</v>
      </c>
      <c r="K498" t="s">
        <v>491</v>
      </c>
      <c r="L498" t="s">
        <v>1121</v>
      </c>
      <c r="M498">
        <v>360</v>
      </c>
      <c r="N498">
        <v>360</v>
      </c>
      <c r="O498" t="s">
        <v>197</v>
      </c>
      <c r="P498">
        <v>3</v>
      </c>
      <c r="Q498">
        <f>N498/P498</f>
      </c>
      <c r="R498" s="1">
        <v>315</v>
      </c>
      <c r="S498" s="1">
        <v>315</v>
      </c>
      <c r="T498">
        <f>IF(R498=S498,"相符","不相符")</f>
      </c>
      <c r="U498" t="s">
        <v>1122</v>
      </c>
      <c r="V498">
        <f>P498*R498</f>
      </c>
      <c r="W498">
        <f>Q498*V498</f>
      </c>
      <c r="X498">
        <v>1825</v>
      </c>
      <c r="Y498" t="s">
        <v>1245</v>
      </c>
      <c r="Z498" t="s">
        <v>573</v>
      </c>
      <c r="AA498"/>
      <c r="AB498"/>
      <c r="AC498" t="s">
        <v>243</v>
      </c>
      <c r="AD498"/>
    </row>
    <row r="499">
      <c r="A499" t="s">
        <v>30</v>
      </c>
      <c r="B499" t="s">
        <v>31</v>
      </c>
      <c r="C499" t="s">
        <v>1253</v>
      </c>
      <c r="D499" t="s">
        <v>205</v>
      </c>
      <c r="E499" t="s">
        <v>206</v>
      </c>
      <c r="F499" s="2">
        <v>46279</v>
      </c>
      <c r="G499">
        <v>1</v>
      </c>
      <c r="H499" t="s">
        <v>1254</v>
      </c>
      <c r="I499" t="s">
        <v>1255</v>
      </c>
      <c r="J499" t="s">
        <v>1256</v>
      </c>
      <c r="K499" t="s">
        <v>75</v>
      </c>
      <c r="L499" t="s">
        <v>1257</v>
      </c>
      <c r="M499">
        <v>1</v>
      </c>
      <c r="N499">
        <v>1</v>
      </c>
      <c r="O499" t="s">
        <v>84</v>
      </c>
      <c r="P499">
        <v>1</v>
      </c>
      <c r="Q499">
        <f>N499/P499</f>
      </c>
      <c r="R499" s="1">
        <v>3210</v>
      </c>
      <c r="S499" s="1">
        <v>3210</v>
      </c>
      <c r="T499">
        <f>IF(R499=S499,"相符","不相符")</f>
      </c>
      <c r="U499" t="s">
        <v>1258</v>
      </c>
      <c r="V499">
        <f>P499*R499</f>
      </c>
      <c r="W499">
        <f>Q499*V499</f>
      </c>
      <c r="X499">
        <v>365</v>
      </c>
      <c r="Y499" t="s">
        <v>1259</v>
      </c>
      <c r="Z499" t="s">
        <v>42</v>
      </c>
      <c r="AA499"/>
      <c r="AB499"/>
      <c r="AC499" t="s">
        <v>43</v>
      </c>
      <c r="AD499"/>
    </row>
    <row r="500">
      <c r="A500" t="s">
        <v>30</v>
      </c>
      <c r="B500" t="s">
        <v>31</v>
      </c>
      <c r="C500" t="s">
        <v>1260</v>
      </c>
      <c r="D500" t="s">
        <v>205</v>
      </c>
      <c r="E500" t="s">
        <v>206</v>
      </c>
      <c r="F500" s="2">
        <v>46279</v>
      </c>
      <c r="G500">
        <v>1</v>
      </c>
      <c r="H500" t="s">
        <v>1261</v>
      </c>
      <c r="I500" t="s">
        <v>1262</v>
      </c>
      <c r="J500" t="s">
        <v>1089</v>
      </c>
      <c r="K500" t="s">
        <v>82</v>
      </c>
      <c r="L500" t="s">
        <v>1263</v>
      </c>
      <c r="M500">
        <v>5</v>
      </c>
      <c r="N500">
        <v>5</v>
      </c>
      <c r="O500" t="s">
        <v>84</v>
      </c>
      <c r="P500">
        <v>1</v>
      </c>
      <c r="Q500">
        <f>N500/P500</f>
      </c>
      <c r="R500" s="1">
        <v>7088</v>
      </c>
      <c r="S500" s="1">
        <v>7088</v>
      </c>
      <c r="T500">
        <f>IF(R500=S500,"相符","不相符")</f>
      </c>
      <c r="U500" t="s">
        <v>1089</v>
      </c>
      <c r="V500">
        <f>P500*R500</f>
      </c>
      <c r="W500">
        <f>Q500*V500</f>
      </c>
      <c r="X500">
        <v>730</v>
      </c>
      <c r="Y500" t="s">
        <v>1264</v>
      </c>
      <c r="Z500" t="s">
        <v>1103</v>
      </c>
      <c r="AA500"/>
      <c r="AB500"/>
      <c r="AC500" t="s">
        <v>49</v>
      </c>
      <c r="AD500"/>
    </row>
    <row r="501">
      <c r="A501" t="s">
        <v>30</v>
      </c>
      <c r="B501" t="s">
        <v>31</v>
      </c>
      <c r="C501" t="s">
        <v>1265</v>
      </c>
      <c r="D501" t="s">
        <v>205</v>
      </c>
      <c r="E501" t="s">
        <v>206</v>
      </c>
      <c r="F501" s="2">
        <v>46279</v>
      </c>
      <c r="G501">
        <v>1</v>
      </c>
      <c r="H501" t="s">
        <v>410</v>
      </c>
      <c r="I501" t="s">
        <v>411</v>
      </c>
      <c r="J501" t="s">
        <v>412</v>
      </c>
      <c r="K501" t="s">
        <v>210</v>
      </c>
      <c r="L501" t="s">
        <v>413</v>
      </c>
      <c r="M501">
        <v>10</v>
      </c>
      <c r="N501">
        <v>10</v>
      </c>
      <c r="O501" t="s">
        <v>84</v>
      </c>
      <c r="P501">
        <v>1</v>
      </c>
      <c r="Q501">
        <f>N501/P501</f>
      </c>
      <c r="R501" s="1">
        <v>960</v>
      </c>
      <c r="S501" s="1">
        <v>960</v>
      </c>
      <c r="T501">
        <f>IF(R501=S501,"相符","不相符")</f>
      </c>
      <c r="U501" t="s">
        <v>414</v>
      </c>
      <c r="V501">
        <f>P501*R501</f>
      </c>
      <c r="W501">
        <f>Q501*V501</f>
      </c>
      <c r="X501">
        <v>730</v>
      </c>
      <c r="Y501" t="s">
        <v>1266</v>
      </c>
      <c r="Z501" t="s">
        <v>1151</v>
      </c>
      <c r="AA501"/>
      <c r="AB501"/>
      <c r="AC501" t="s">
        <v>43</v>
      </c>
      <c r="AD501"/>
    </row>
    <row r="502">
      <c r="A502" t="s">
        <v>30</v>
      </c>
      <c r="B502" t="s">
        <v>31</v>
      </c>
      <c r="C502" t="s">
        <v>1265</v>
      </c>
      <c r="D502" t="s">
        <v>205</v>
      </c>
      <c r="E502" t="s">
        <v>206</v>
      </c>
      <c r="F502" s="2">
        <v>46279</v>
      </c>
      <c r="G502">
        <v>2</v>
      </c>
      <c r="H502" t="s">
        <v>1267</v>
      </c>
      <c r="I502" t="s">
        <v>1268</v>
      </c>
      <c r="J502" t="s">
        <v>141</v>
      </c>
      <c r="K502" t="s">
        <v>57</v>
      </c>
      <c r="L502" t="s">
        <v>1269</v>
      </c>
      <c r="M502">
        <v>10</v>
      </c>
      <c r="N502">
        <v>10</v>
      </c>
      <c r="O502" t="s">
        <v>84</v>
      </c>
      <c r="P502">
        <v>1</v>
      </c>
      <c r="Q502">
        <f>N502/P502</f>
      </c>
      <c r="R502" s="1">
        <v>894</v>
      </c>
      <c r="S502" s="1">
        <v>774</v>
      </c>
      <c r="T502">
        <f>IF(R502=S502,"相符","不相符")</f>
      </c>
      <c r="U502" t="s">
        <v>141</v>
      </c>
      <c r="V502">
        <f>P502*R502</f>
      </c>
      <c r="W502">
        <f>Q502*V502</f>
      </c>
      <c r="X502">
        <v>540</v>
      </c>
      <c r="Y502" t="s">
        <v>428</v>
      </c>
      <c r="Z502" t="s">
        <v>1151</v>
      </c>
      <c r="AA502"/>
      <c r="AB502"/>
      <c r="AC502" t="s">
        <v>43</v>
      </c>
      <c r="AD502"/>
    </row>
    <row r="503">
      <c r="A503" t="s">
        <v>30</v>
      </c>
      <c r="B503" t="s">
        <v>31</v>
      </c>
      <c r="C503" t="s">
        <v>1270</v>
      </c>
      <c r="D503" t="s">
        <v>205</v>
      </c>
      <c r="E503" t="s">
        <v>206</v>
      </c>
      <c r="F503" s="2">
        <v>46279</v>
      </c>
      <c r="G503">
        <v>1</v>
      </c>
      <c r="H503" t="s">
        <v>228</v>
      </c>
      <c r="I503" t="s">
        <v>229</v>
      </c>
      <c r="J503" t="s">
        <v>230</v>
      </c>
      <c r="K503" t="s">
        <v>210</v>
      </c>
      <c r="L503" t="s">
        <v>231</v>
      </c>
      <c r="M503">
        <v>36</v>
      </c>
      <c r="N503">
        <v>36</v>
      </c>
      <c r="O503" t="s">
        <v>84</v>
      </c>
      <c r="P503">
        <v>1</v>
      </c>
      <c r="Q503">
        <f>N503/P503</f>
      </c>
      <c r="R503" s="1">
        <v>960</v>
      </c>
      <c r="S503" s="1">
        <v>960</v>
      </c>
      <c r="T503">
        <f>IF(R503=S503,"相符","不相符")</f>
      </c>
      <c r="U503" t="s">
        <v>232</v>
      </c>
      <c r="V503">
        <f>P503*R503</f>
      </c>
      <c r="W503">
        <f>Q503*V503</f>
      </c>
      <c r="X503">
        <v>730</v>
      </c>
      <c r="Y503" t="s">
        <v>1266</v>
      </c>
      <c r="Z503" t="s">
        <v>213</v>
      </c>
      <c r="AA503"/>
      <c r="AB503"/>
      <c r="AC503" t="s">
        <v>43</v>
      </c>
      <c r="AD503"/>
    </row>
    <row r="504">
      <c r="A504" t="s">
        <v>30</v>
      </c>
      <c r="B504" t="s">
        <v>254</v>
      </c>
      <c r="C504" t="s">
        <v>1271</v>
      </c>
      <c r="D504" t="s">
        <v>262</v>
      </c>
      <c r="E504" t="s">
        <v>263</v>
      </c>
      <c r="F504" s="2">
        <v>46281</v>
      </c>
      <c r="G504">
        <v>1</v>
      </c>
      <c r="H504" t="s">
        <v>574</v>
      </c>
      <c r="I504" t="s">
        <v>575</v>
      </c>
      <c r="J504" t="s">
        <v>576</v>
      </c>
      <c r="K504" t="s">
        <v>491</v>
      </c>
      <c r="L504" t="s">
        <v>577</v>
      </c>
      <c r="M504">
        <v>48</v>
      </c>
      <c r="N504">
        <v>48</v>
      </c>
      <c r="O504" t="s">
        <v>84</v>
      </c>
      <c r="P504">
        <v>1</v>
      </c>
      <c r="Q504">
        <f>N504/P504</f>
      </c>
      <c r="R504" s="1">
        <v>868</v>
      </c>
      <c r="S504" s="1">
        <v>868</v>
      </c>
      <c r="T504">
        <f>IF(R504=S504,"相符","不相符")</f>
      </c>
      <c r="U504" t="s">
        <v>578</v>
      </c>
      <c r="V504">
        <f>P504*R504</f>
      </c>
      <c r="W504">
        <f>Q504*V504</f>
      </c>
      <c r="X504">
        <v>1825</v>
      </c>
      <c r="Y504" t="s">
        <v>1272</v>
      </c>
      <c r="Z504" t="s">
        <v>838</v>
      </c>
      <c r="AA504"/>
      <c r="AB504"/>
      <c r="AC504" t="s">
        <v>243</v>
      </c>
      <c r="AD504"/>
    </row>
    <row r="505">
      <c r="A505" t="s">
        <v>30</v>
      </c>
      <c r="B505" t="s">
        <v>254</v>
      </c>
      <c r="C505" t="s">
        <v>1271</v>
      </c>
      <c r="D505" t="s">
        <v>262</v>
      </c>
      <c r="E505" t="s">
        <v>263</v>
      </c>
      <c r="F505" s="2">
        <v>46281</v>
      </c>
      <c r="G505">
        <v>2</v>
      </c>
      <c r="H505" t="s">
        <v>595</v>
      </c>
      <c r="I505" t="s">
        <v>596</v>
      </c>
      <c r="J505" t="s">
        <v>597</v>
      </c>
      <c r="K505" t="s">
        <v>491</v>
      </c>
      <c r="L505" t="s">
        <v>598</v>
      </c>
      <c r="M505">
        <v>80</v>
      </c>
      <c r="N505">
        <v>80</v>
      </c>
      <c r="O505" t="s">
        <v>84</v>
      </c>
      <c r="P505">
        <v>1</v>
      </c>
      <c r="Q505">
        <f>N505/P505</f>
      </c>
      <c r="R505" s="1">
        <v>742</v>
      </c>
      <c r="S505" s="1">
        <v>742</v>
      </c>
      <c r="T505">
        <f>IF(R505=S505,"相符","不相符")</f>
      </c>
      <c r="U505" t="s">
        <v>578</v>
      </c>
      <c r="V505">
        <f>P505*R505</f>
      </c>
      <c r="W505">
        <f>Q505*V505</f>
      </c>
      <c r="X505">
        <v>1825</v>
      </c>
      <c r="Y505" t="s">
        <v>1272</v>
      </c>
      <c r="Z505" t="s">
        <v>838</v>
      </c>
      <c r="AA505"/>
      <c r="AB505"/>
      <c r="AC505" t="s">
        <v>243</v>
      </c>
      <c r="AD505"/>
    </row>
    <row r="506">
      <c r="A506" t="s">
        <v>30</v>
      </c>
      <c r="B506" t="s">
        <v>254</v>
      </c>
      <c r="C506" t="s">
        <v>1271</v>
      </c>
      <c r="D506" t="s">
        <v>262</v>
      </c>
      <c r="E506" t="s">
        <v>263</v>
      </c>
      <c r="F506" s="2">
        <v>46281</v>
      </c>
      <c r="G506">
        <v>3</v>
      </c>
      <c r="H506" t="s">
        <v>599</v>
      </c>
      <c r="I506" t="s">
        <v>600</v>
      </c>
      <c r="J506" t="s">
        <v>601</v>
      </c>
      <c r="K506" t="s">
        <v>491</v>
      </c>
      <c r="L506" t="s">
        <v>602</v>
      </c>
      <c r="M506">
        <v>253</v>
      </c>
      <c r="N506">
        <v>253</v>
      </c>
      <c r="O506" t="s">
        <v>84</v>
      </c>
      <c r="P506">
        <v>1</v>
      </c>
      <c r="Q506">
        <f>N506/P506</f>
      </c>
      <c r="R506" s="1">
        <v>712</v>
      </c>
      <c r="S506" s="1">
        <v>712</v>
      </c>
      <c r="T506">
        <f>IF(R506=S506,"相符","不相符")</f>
      </c>
      <c r="U506" t="s">
        <v>578</v>
      </c>
      <c r="V506">
        <f>P506*R506</f>
      </c>
      <c r="W506">
        <f>Q506*V506</f>
      </c>
      <c r="X506">
        <v>1825</v>
      </c>
      <c r="Y506" t="s">
        <v>1272</v>
      </c>
      <c r="Z506" t="s">
        <v>838</v>
      </c>
      <c r="AA506"/>
      <c r="AB506"/>
      <c r="AC506" t="s">
        <v>243</v>
      </c>
      <c r="AD506"/>
    </row>
    <row r="507">
      <c r="A507" t="s">
        <v>30</v>
      </c>
      <c r="B507" t="s">
        <v>254</v>
      </c>
      <c r="C507" t="s">
        <v>1273</v>
      </c>
      <c r="D507" t="s">
        <v>604</v>
      </c>
      <c r="E507" t="s">
        <v>605</v>
      </c>
      <c r="F507" s="2">
        <v>46281</v>
      </c>
      <c r="G507">
        <v>1</v>
      </c>
      <c r="H507" t="s">
        <v>833</v>
      </c>
      <c r="I507" t="s">
        <v>834</v>
      </c>
      <c r="J507" t="s">
        <v>835</v>
      </c>
      <c r="K507" t="s">
        <v>258</v>
      </c>
      <c r="L507" t="s">
        <v>836</v>
      </c>
      <c r="M507">
        <v>600</v>
      </c>
      <c r="N507">
        <v>600</v>
      </c>
      <c r="O507" t="s">
        <v>84</v>
      </c>
      <c r="P507">
        <v>1</v>
      </c>
      <c r="Q507">
        <f>N507/P507</f>
      </c>
      <c r="R507" s="1">
        <v>642</v>
      </c>
      <c r="S507" s="1">
        <v>642</v>
      </c>
      <c r="T507">
        <f>IF(R507=S507,"相符","不相符")</f>
      </c>
      <c r="U507" t="s">
        <v>837</v>
      </c>
      <c r="V507">
        <f>P507*R507</f>
      </c>
      <c r="W507">
        <f>Q507*V507</f>
      </c>
      <c r="X507">
        <v>1825</v>
      </c>
      <c r="Y507" t="s">
        <v>1272</v>
      </c>
      <c r="Z507" t="s">
        <v>838</v>
      </c>
      <c r="AA507"/>
      <c r="AB507"/>
      <c r="AC507" t="s">
        <v>243</v>
      </c>
      <c r="AD507"/>
    </row>
    <row r="508">
      <c r="A508" t="s">
        <v>30</v>
      </c>
      <c r="B508" t="s">
        <v>31</v>
      </c>
      <c r="C508" t="s">
        <v>1274</v>
      </c>
      <c r="D508" t="s">
        <v>1275</v>
      </c>
      <c r="E508" t="s">
        <v>1276</v>
      </c>
      <c r="F508" s="2">
        <v>46281</v>
      </c>
      <c r="G508">
        <v>1</v>
      </c>
      <c r="H508" t="s">
        <v>207</v>
      </c>
      <c r="I508" t="s">
        <v>208</v>
      </c>
      <c r="J508" t="s">
        <v>209</v>
      </c>
      <c r="K508" t="s">
        <v>210</v>
      </c>
      <c r="L508" t="s">
        <v>211</v>
      </c>
      <c r="M508">
        <v>10</v>
      </c>
      <c r="N508">
        <v>10</v>
      </c>
      <c r="O508" t="s">
        <v>84</v>
      </c>
      <c r="P508">
        <v>1</v>
      </c>
      <c r="Q508">
        <f>N508/P508</f>
      </c>
      <c r="R508" s="1">
        <v>613</v>
      </c>
      <c r="S508" s="1">
        <v>613</v>
      </c>
      <c r="T508">
        <f>IF(R508=S508,"相符","不相符")</f>
      </c>
      <c r="U508" t="s">
        <v>209</v>
      </c>
      <c r="V508">
        <f>P508*R508</f>
      </c>
      <c r="W508">
        <f>Q508*V508</f>
      </c>
      <c r="X508">
        <v>540</v>
      </c>
      <c r="Y508" t="s">
        <v>65</v>
      </c>
      <c r="Z508" t="s">
        <v>213</v>
      </c>
      <c r="AA508"/>
      <c r="AB508"/>
      <c r="AC508" t="s">
        <v>43</v>
      </c>
      <c r="AD508"/>
    </row>
    <row r="509">
      <c r="A509" t="s">
        <v>30</v>
      </c>
      <c r="B509" t="s">
        <v>31</v>
      </c>
      <c r="C509" t="s">
        <v>1274</v>
      </c>
      <c r="D509" t="s">
        <v>1275</v>
      </c>
      <c r="E509" t="s">
        <v>1276</v>
      </c>
      <c r="F509" s="2">
        <v>46281</v>
      </c>
      <c r="G509">
        <v>2</v>
      </c>
      <c r="H509" t="s">
        <v>1114</v>
      </c>
      <c r="I509" t="s">
        <v>1115</v>
      </c>
      <c r="J509" t="s">
        <v>297</v>
      </c>
      <c r="K509" t="s">
        <v>57</v>
      </c>
      <c r="L509" t="s">
        <v>1116</v>
      </c>
      <c r="M509">
        <v>6</v>
      </c>
      <c r="N509">
        <v>6</v>
      </c>
      <c r="O509" t="s">
        <v>84</v>
      </c>
      <c r="P509">
        <v>1</v>
      </c>
      <c r="Q509">
        <f>N509/P509</f>
      </c>
      <c r="R509" s="1">
        <v>894</v>
      </c>
      <c r="S509" s="1">
        <v>774</v>
      </c>
      <c r="T509">
        <f>IF(R509=S509,"相符","不相符")</f>
      </c>
      <c r="U509" t="s">
        <v>297</v>
      </c>
      <c r="V509">
        <f>P509*R509</f>
      </c>
      <c r="W509">
        <f>Q509*V509</f>
      </c>
      <c r="X509">
        <v>540</v>
      </c>
      <c r="Y509" t="s">
        <v>147</v>
      </c>
      <c r="Z509" t="s">
        <v>213</v>
      </c>
      <c r="AA509"/>
      <c r="AB509"/>
      <c r="AC509" t="s">
        <v>43</v>
      </c>
      <c r="AD509"/>
    </row>
    <row r="510">
      <c r="A510" t="s">
        <v>30</v>
      </c>
      <c r="B510" t="s">
        <v>31</v>
      </c>
      <c r="C510" t="s">
        <v>1274</v>
      </c>
      <c r="D510" t="s">
        <v>1275</v>
      </c>
      <c r="E510" t="s">
        <v>1276</v>
      </c>
      <c r="F510" s="2">
        <v>46281</v>
      </c>
      <c r="G510">
        <v>3</v>
      </c>
      <c r="H510" t="s">
        <v>1277</v>
      </c>
      <c r="I510" t="s">
        <v>1278</v>
      </c>
      <c r="J510" t="s">
        <v>1279</v>
      </c>
      <c r="K510" t="s">
        <v>1280</v>
      </c>
      <c r="L510" t="s">
        <v>1281</v>
      </c>
      <c r="M510">
        <v>1</v>
      </c>
      <c r="N510">
        <v>1</v>
      </c>
      <c r="O510" t="s">
        <v>84</v>
      </c>
      <c r="P510">
        <v>1</v>
      </c>
      <c r="Q510">
        <f>N510/P510</f>
      </c>
      <c r="R510" s="1">
        <v>6727</v>
      </c>
      <c r="S510" s="1">
        <v>6727</v>
      </c>
      <c r="T510">
        <f>IF(R510=S510,"相符","不相符")</f>
      </c>
      <c r="U510" t="s">
        <v>1279</v>
      </c>
      <c r="V510">
        <f>P510*R510</f>
      </c>
      <c r="W510">
        <f>Q510*V510</f>
      </c>
      <c r="X510">
        <v>365</v>
      </c>
      <c r="Y510" t="s">
        <v>1282</v>
      </c>
      <c r="Z510" t="s">
        <v>213</v>
      </c>
      <c r="AA510"/>
      <c r="AB510"/>
      <c r="AC510" t="s">
        <v>43</v>
      </c>
      <c r="AD510"/>
    </row>
    <row r="511">
      <c r="A511" t="s">
        <v>30</v>
      </c>
      <c r="B511" t="s">
        <v>189</v>
      </c>
      <c r="C511" t="s">
        <v>1283</v>
      </c>
      <c r="D511" t="s">
        <v>464</v>
      </c>
      <c r="E511" t="s">
        <v>465</v>
      </c>
      <c r="F511" s="2">
        <v>46286</v>
      </c>
      <c r="G511">
        <v>1</v>
      </c>
      <c r="H511" t="s">
        <v>626</v>
      </c>
      <c r="I511" t="s">
        <v>627</v>
      </c>
      <c r="J511" t="s">
        <v>628</v>
      </c>
      <c r="K511" t="s">
        <v>419</v>
      </c>
      <c r="L511" t="s">
        <v>629</v>
      </c>
      <c r="M511">
        <v>10</v>
      </c>
      <c r="N511">
        <v>10</v>
      </c>
      <c r="O511" t="s">
        <v>84</v>
      </c>
      <c r="P511">
        <v>1</v>
      </c>
      <c r="Q511">
        <f>N511/P511</f>
      </c>
      <c r="R511" s="1">
        <v>1150</v>
      </c>
      <c r="S511" s="1">
        <v>1150</v>
      </c>
      <c r="T511">
        <f>IF(R511=S511,"相符","不相符")</f>
      </c>
      <c r="U511"/>
      <c r="V511">
        <f>P511*R511</f>
      </c>
      <c r="W511">
        <f>Q511*V511</f>
      </c>
      <c r="X511">
        <v>1095</v>
      </c>
      <c r="Y511" t="s">
        <v>616</v>
      </c>
      <c r="Z511" t="s">
        <v>631</v>
      </c>
      <c r="AA511"/>
      <c r="AB511"/>
      <c r="AC511" t="s">
        <v>49</v>
      </c>
      <c r="AD511"/>
    </row>
    <row r="512">
      <c r="A512" t="s">
        <v>30</v>
      </c>
      <c r="B512" t="s">
        <v>233</v>
      </c>
      <c r="C512" t="s">
        <v>1284</v>
      </c>
      <c r="D512" t="s">
        <v>33</v>
      </c>
      <c r="E512" t="s">
        <v>34</v>
      </c>
      <c r="F512" s="2">
        <v>46291</v>
      </c>
      <c r="G512">
        <v>1</v>
      </c>
      <c r="H512" t="s">
        <v>496</v>
      </c>
      <c r="I512" t="s">
        <v>497</v>
      </c>
      <c r="J512" t="s">
        <v>498</v>
      </c>
      <c r="K512" t="s">
        <v>238</v>
      </c>
      <c r="L512" t="s">
        <v>499</v>
      </c>
      <c r="M512">
        <v>96</v>
      </c>
      <c r="N512">
        <v>96</v>
      </c>
      <c r="O512" t="s">
        <v>240</v>
      </c>
      <c r="P512">
        <v>12</v>
      </c>
      <c r="Q512">
        <f>N512/P512</f>
      </c>
      <c r="R512" s="1">
        <v>88</v>
      </c>
      <c r="S512" s="1">
        <v>88</v>
      </c>
      <c r="T512">
        <f>IF(R512=S512,"相符","不相符")</f>
      </c>
      <c r="U512"/>
      <c r="V512">
        <f>P512*R512</f>
      </c>
      <c r="W512">
        <f>Q512*V512</f>
      </c>
      <c r="X512">
        <v>1095</v>
      </c>
      <c r="Y512" t="s">
        <v>910</v>
      </c>
      <c r="Z512" t="s">
        <v>631</v>
      </c>
      <c r="AA512"/>
      <c r="AB512"/>
      <c r="AC512" t="s">
        <v>243</v>
      </c>
      <c r="AD512"/>
    </row>
    <row r="513">
      <c r="A513" t="s">
        <v>30</v>
      </c>
      <c r="B513" t="s">
        <v>31</v>
      </c>
      <c r="C513" t="s">
        <v>1285</v>
      </c>
      <c r="D513" t="s">
        <v>191</v>
      </c>
      <c r="E513" t="s">
        <v>192</v>
      </c>
      <c r="F513" s="2">
        <v>46289</v>
      </c>
      <c r="G513">
        <v>1</v>
      </c>
      <c r="H513" t="s">
        <v>1286</v>
      </c>
      <c r="I513" t="s">
        <v>1287</v>
      </c>
      <c r="J513" t="s">
        <v>1288</v>
      </c>
      <c r="K513" t="s">
        <v>377</v>
      </c>
      <c r="L513" t="s">
        <v>1289</v>
      </c>
      <c r="M513">
        <v>434</v>
      </c>
      <c r="N513">
        <v>434</v>
      </c>
      <c r="O513" t="s">
        <v>40</v>
      </c>
      <c r="P513">
        <v>12</v>
      </c>
      <c r="Q513">
        <f>N513/P513</f>
      </c>
      <c r="R513" s="1">
        <v>658</v>
      </c>
      <c r="S513" s="1">
        <v>658</v>
      </c>
      <c r="T513">
        <f>IF(R513=S513,"相符","不相符")</f>
      </c>
      <c r="U513" t="s">
        <v>1288</v>
      </c>
      <c r="V513">
        <f>P513*R513</f>
      </c>
      <c r="W513">
        <f>Q513*V513</f>
      </c>
      <c r="X513">
        <v>540</v>
      </c>
      <c r="Y513" t="s">
        <v>1290</v>
      </c>
      <c r="Z513" t="s">
        <v>213</v>
      </c>
      <c r="AA513"/>
      <c r="AB513"/>
      <c r="AC513" t="s">
        <v>43</v>
      </c>
      <c r="AD513"/>
    </row>
    <row r="514">
      <c r="A514" t="s">
        <v>30</v>
      </c>
      <c r="B514" t="s">
        <v>31</v>
      </c>
      <c r="C514" t="s">
        <v>1285</v>
      </c>
      <c r="D514" t="s">
        <v>191</v>
      </c>
      <c r="E514" t="s">
        <v>192</v>
      </c>
      <c r="F514" s="2">
        <v>46289</v>
      </c>
      <c r="G514">
        <v>2</v>
      </c>
      <c r="H514" t="s">
        <v>338</v>
      </c>
      <c r="I514" t="s">
        <v>339</v>
      </c>
      <c r="J514" t="s">
        <v>340</v>
      </c>
      <c r="K514" t="s">
        <v>82</v>
      </c>
      <c r="L514" t="s">
        <v>341</v>
      </c>
      <c r="M514">
        <v>262</v>
      </c>
      <c r="N514">
        <v>262</v>
      </c>
      <c r="O514" t="s">
        <v>84</v>
      </c>
      <c r="P514">
        <v>1</v>
      </c>
      <c r="Q514">
        <f>N514/P514</f>
      </c>
      <c r="R514" s="1">
        <v>438</v>
      </c>
      <c r="S514" s="1">
        <v>438</v>
      </c>
      <c r="T514">
        <f>IF(R514=S514,"相符","不相符")</f>
      </c>
      <c r="U514" t="s">
        <v>342</v>
      </c>
      <c r="V514">
        <f>P514*R514</f>
      </c>
      <c r="W514">
        <f>Q514*V514</f>
      </c>
      <c r="X514">
        <v>730</v>
      </c>
      <c r="Y514" t="s">
        <v>1291</v>
      </c>
      <c r="Z514" t="s">
        <v>213</v>
      </c>
      <c r="AA514"/>
      <c r="AB514"/>
      <c r="AC514" t="s">
        <v>43</v>
      </c>
      <c r="AD514"/>
    </row>
    <row r="515">
      <c r="A515" t="s">
        <v>30</v>
      </c>
      <c r="B515" t="s">
        <v>31</v>
      </c>
      <c r="C515" t="s">
        <v>1285</v>
      </c>
      <c r="D515" t="s">
        <v>191</v>
      </c>
      <c r="E515" t="s">
        <v>192</v>
      </c>
      <c r="F515" s="2">
        <v>46289</v>
      </c>
      <c r="G515">
        <v>3</v>
      </c>
      <c r="H515" t="s">
        <v>103</v>
      </c>
      <c r="I515" t="s">
        <v>104</v>
      </c>
      <c r="J515" t="s">
        <v>105</v>
      </c>
      <c r="K515" t="s">
        <v>69</v>
      </c>
      <c r="L515" t="s">
        <v>106</v>
      </c>
      <c r="M515">
        <v>138</v>
      </c>
      <c r="N515">
        <v>138</v>
      </c>
      <c r="O515" t="s">
        <v>40</v>
      </c>
      <c r="P515">
        <v>4</v>
      </c>
      <c r="Q515">
        <f>N515/P515</f>
      </c>
      <c r="R515" s="1">
        <v>731</v>
      </c>
      <c r="S515" s="1">
        <v>731</v>
      </c>
      <c r="T515">
        <f>IF(R515=S515,"相符","不相符")</f>
      </c>
      <c r="U515" t="s">
        <v>107</v>
      </c>
      <c r="V515">
        <f>P515*R515</f>
      </c>
      <c r="W515">
        <f>Q515*V515</f>
      </c>
      <c r="X515">
        <v>540</v>
      </c>
      <c r="Y515" t="s">
        <v>1290</v>
      </c>
      <c r="Z515" t="s">
        <v>213</v>
      </c>
      <c r="AA515"/>
      <c r="AB515"/>
      <c r="AC515" t="s">
        <v>43</v>
      </c>
      <c r="AD515"/>
    </row>
    <row r="516">
      <c r="A516" t="s">
        <v>30</v>
      </c>
      <c r="B516" t="s">
        <v>31</v>
      </c>
      <c r="C516" t="s">
        <v>1285</v>
      </c>
      <c r="D516" t="s">
        <v>191</v>
      </c>
      <c r="E516" t="s">
        <v>192</v>
      </c>
      <c r="F516" s="2">
        <v>46289</v>
      </c>
      <c r="G516">
        <v>4</v>
      </c>
      <c r="H516" t="s">
        <v>540</v>
      </c>
      <c r="I516" t="s">
        <v>541</v>
      </c>
      <c r="J516" t="s">
        <v>542</v>
      </c>
      <c r="K516" t="s">
        <v>69</v>
      </c>
      <c r="L516" t="s">
        <v>543</v>
      </c>
      <c r="M516">
        <v>132</v>
      </c>
      <c r="N516">
        <v>132</v>
      </c>
      <c r="O516" t="s">
        <v>40</v>
      </c>
      <c r="P516">
        <v>4</v>
      </c>
      <c r="Q516">
        <f>N516/P516</f>
      </c>
      <c r="R516" s="1">
        <v>731</v>
      </c>
      <c r="S516" s="1">
        <v>731</v>
      </c>
      <c r="T516">
        <f>IF(R516=S516,"相符","不相符")</f>
      </c>
      <c r="U516" t="s">
        <v>544</v>
      </c>
      <c r="V516">
        <f>P516*R516</f>
      </c>
      <c r="W516">
        <f>Q516*V516</f>
      </c>
      <c r="X516">
        <v>540</v>
      </c>
      <c r="Y516" t="s">
        <v>1290</v>
      </c>
      <c r="Z516" t="s">
        <v>213</v>
      </c>
      <c r="AA516"/>
      <c r="AB516"/>
      <c r="AC516" t="s">
        <v>43</v>
      </c>
      <c r="AD516"/>
    </row>
    <row r="517">
      <c r="A517" t="s">
        <v>30</v>
      </c>
      <c r="B517" t="s">
        <v>31</v>
      </c>
      <c r="C517" t="s">
        <v>1285</v>
      </c>
      <c r="D517" t="s">
        <v>191</v>
      </c>
      <c r="E517" t="s">
        <v>192</v>
      </c>
      <c r="F517" s="2">
        <v>46289</v>
      </c>
      <c r="G517">
        <v>5</v>
      </c>
      <c r="H517" t="s">
        <v>174</v>
      </c>
      <c r="I517" t="s">
        <v>175</v>
      </c>
      <c r="J517" t="s">
        <v>171</v>
      </c>
      <c r="K517" t="s">
        <v>69</v>
      </c>
      <c r="L517" t="s">
        <v>176</v>
      </c>
      <c r="M517">
        <v>840</v>
      </c>
      <c r="N517">
        <v>840</v>
      </c>
      <c r="O517" t="s">
        <v>177</v>
      </c>
      <c r="P517">
        <v>40</v>
      </c>
      <c r="Q517">
        <f>N517/P517</f>
      </c>
      <c r="R517" s="1">
        <v>117</v>
      </c>
      <c r="S517" s="1">
        <v>117</v>
      </c>
      <c r="T517">
        <f>IF(R517=S517,"相符","不相符")</f>
      </c>
      <c r="U517" t="s">
        <v>173</v>
      </c>
      <c r="V517">
        <f>P517*R517</f>
      </c>
      <c r="W517">
        <f>Q517*V517</f>
      </c>
      <c r="X517">
        <v>540</v>
      </c>
      <c r="Y517" t="s">
        <v>1290</v>
      </c>
      <c r="Z517" t="s">
        <v>213</v>
      </c>
      <c r="AA517"/>
      <c r="AB517"/>
      <c r="AC517" t="s">
        <v>43</v>
      </c>
      <c r="AD517"/>
    </row>
    <row r="518">
      <c r="A518" t="s">
        <v>30</v>
      </c>
      <c r="B518" t="s">
        <v>254</v>
      </c>
      <c r="C518" t="s">
        <v>1292</v>
      </c>
      <c r="D518" t="s">
        <v>191</v>
      </c>
      <c r="E518" t="s">
        <v>192</v>
      </c>
      <c r="F518" s="2">
        <v>46291</v>
      </c>
      <c r="G518">
        <v>1</v>
      </c>
      <c r="H518" t="s">
        <v>272</v>
      </c>
      <c r="I518" t="s">
        <v>273</v>
      </c>
      <c r="J518" t="s">
        <v>274</v>
      </c>
      <c r="K518" t="s">
        <v>258</v>
      </c>
      <c r="L518" t="s">
        <v>275</v>
      </c>
      <c r="M518">
        <v>64</v>
      </c>
      <c r="N518">
        <v>64</v>
      </c>
      <c r="O518" t="s">
        <v>197</v>
      </c>
      <c r="P518">
        <v>8</v>
      </c>
      <c r="Q518">
        <f>N518/P518</f>
      </c>
      <c r="R518" s="1">
        <v>65</v>
      </c>
      <c r="S518" s="1">
        <v>65</v>
      </c>
      <c r="T518">
        <f>IF(R518=S518,"相符","不相符")</f>
      </c>
      <c r="U518" t="s">
        <v>276</v>
      </c>
      <c r="V518">
        <f>P518*R518</f>
      </c>
      <c r="W518">
        <f>Q518*V518</f>
      </c>
      <c r="X518">
        <v>1825</v>
      </c>
      <c r="Y518" t="s">
        <v>277</v>
      </c>
      <c r="Z518" t="s">
        <v>213</v>
      </c>
      <c r="AA518"/>
      <c r="AB518"/>
      <c r="AC518" t="s">
        <v>243</v>
      </c>
      <c r="AD518"/>
    </row>
    <row r="519">
      <c r="A519" t="s">
        <v>30</v>
      </c>
      <c r="B519" t="s">
        <v>31</v>
      </c>
      <c r="C519" t="s">
        <v>1293</v>
      </c>
      <c r="D519" t="s">
        <v>33</v>
      </c>
      <c r="E519" t="s">
        <v>34</v>
      </c>
      <c r="F519" s="2">
        <v>46287</v>
      </c>
      <c r="G519">
        <v>1</v>
      </c>
      <c r="H519" t="s">
        <v>134</v>
      </c>
      <c r="I519" t="s">
        <v>135</v>
      </c>
      <c r="J519" t="s">
        <v>136</v>
      </c>
      <c r="K519" t="s">
        <v>38</v>
      </c>
      <c r="L519" t="s">
        <v>137</v>
      </c>
      <c r="M519">
        <v>300</v>
      </c>
      <c r="N519">
        <v>300</v>
      </c>
      <c r="O519" t="s">
        <v>40</v>
      </c>
      <c r="P519">
        <v>10</v>
      </c>
      <c r="Q519">
        <f>N519/P519</f>
      </c>
      <c r="R519" s="1">
        <v>277</v>
      </c>
      <c r="S519" s="1">
        <v>277</v>
      </c>
      <c r="T519">
        <f>IF(R519=S519,"相符","不相符")</f>
      </c>
      <c r="U519" t="s">
        <v>138</v>
      </c>
      <c r="V519">
        <f>P519*R519</f>
      </c>
      <c r="W519">
        <f>Q519*V519</f>
      </c>
      <c r="X519">
        <v>730</v>
      </c>
      <c r="Y519" t="s">
        <v>96</v>
      </c>
      <c r="Z519" t="s">
        <v>213</v>
      </c>
      <c r="AA519"/>
      <c r="AB519"/>
      <c r="AC519" t="s">
        <v>49</v>
      </c>
      <c r="AD519"/>
    </row>
    <row r="520">
      <c r="A520" t="s">
        <v>30</v>
      </c>
      <c r="B520" t="s">
        <v>31</v>
      </c>
      <c r="C520" t="s">
        <v>1293</v>
      </c>
      <c r="D520" t="s">
        <v>33</v>
      </c>
      <c r="E520" t="s">
        <v>34</v>
      </c>
      <c r="F520" s="2">
        <v>46287</v>
      </c>
      <c r="G520">
        <v>2</v>
      </c>
      <c r="H520" t="s">
        <v>1294</v>
      </c>
      <c r="I520" t="s">
        <v>1295</v>
      </c>
      <c r="J520" t="s">
        <v>1296</v>
      </c>
      <c r="K520" t="s">
        <v>377</v>
      </c>
      <c r="L520" t="s">
        <v>1297</v>
      </c>
      <c r="M520">
        <v>392</v>
      </c>
      <c r="N520">
        <v>392</v>
      </c>
      <c r="O520" t="s">
        <v>40</v>
      </c>
      <c r="P520">
        <v>12</v>
      </c>
      <c r="Q520">
        <f>N520/P520</f>
      </c>
      <c r="R520" s="1">
        <v>658</v>
      </c>
      <c r="S520" s="1">
        <v>658</v>
      </c>
      <c r="T520">
        <f>IF(R520=S520,"相符","不相符")</f>
      </c>
      <c r="U520" t="s">
        <v>1296</v>
      </c>
      <c r="V520">
        <f>P520*R520</f>
      </c>
      <c r="W520">
        <f>Q520*V520</f>
      </c>
      <c r="X520">
        <v>540</v>
      </c>
      <c r="Y520" t="s">
        <v>409</v>
      </c>
      <c r="Z520" t="s">
        <v>213</v>
      </c>
      <c r="AA520"/>
      <c r="AB520"/>
      <c r="AC520" t="s">
        <v>43</v>
      </c>
      <c r="AD520"/>
    </row>
    <row r="521">
      <c r="A521" t="s">
        <v>30</v>
      </c>
      <c r="B521" t="s">
        <v>31</v>
      </c>
      <c r="C521" t="s">
        <v>1293</v>
      </c>
      <c r="D521" t="s">
        <v>33</v>
      </c>
      <c r="E521" t="s">
        <v>34</v>
      </c>
      <c r="F521" s="2">
        <v>46287</v>
      </c>
      <c r="G521">
        <v>3</v>
      </c>
      <c r="H521" t="s">
        <v>174</v>
      </c>
      <c r="I521" t="s">
        <v>175</v>
      </c>
      <c r="J521" t="s">
        <v>171</v>
      </c>
      <c r="K521" t="s">
        <v>69</v>
      </c>
      <c r="L521" t="s">
        <v>176</v>
      </c>
      <c r="M521">
        <v>1400</v>
      </c>
      <c r="N521">
        <v>1400</v>
      </c>
      <c r="O521" t="s">
        <v>177</v>
      </c>
      <c r="P521">
        <v>40</v>
      </c>
      <c r="Q521">
        <f>N521/P521</f>
      </c>
      <c r="R521" s="1">
        <v>117</v>
      </c>
      <c r="S521" s="1">
        <v>117</v>
      </c>
      <c r="T521">
        <f>IF(R521=S521,"相符","不相符")</f>
      </c>
      <c r="U521" t="s">
        <v>173</v>
      </c>
      <c r="V521">
        <f>P521*R521</f>
      </c>
      <c r="W521">
        <f>Q521*V521</f>
      </c>
      <c r="X521">
        <v>540</v>
      </c>
      <c r="Y521" t="s">
        <v>409</v>
      </c>
      <c r="Z521" t="s">
        <v>213</v>
      </c>
      <c r="AA521"/>
      <c r="AB521"/>
      <c r="AC521" t="s">
        <v>43</v>
      </c>
      <c r="AD521"/>
    </row>
    <row r="522">
      <c r="A522" t="s">
        <v>30</v>
      </c>
      <c r="B522" t="s">
        <v>31</v>
      </c>
      <c r="C522" t="s">
        <v>1293</v>
      </c>
      <c r="D522" t="s">
        <v>33</v>
      </c>
      <c r="E522" t="s">
        <v>34</v>
      </c>
      <c r="F522" s="2">
        <v>46287</v>
      </c>
      <c r="G522">
        <v>4</v>
      </c>
      <c r="H522" t="s">
        <v>355</v>
      </c>
      <c r="I522" t="s">
        <v>356</v>
      </c>
      <c r="J522" t="s">
        <v>357</v>
      </c>
      <c r="K522" t="s">
        <v>69</v>
      </c>
      <c r="L522" t="s">
        <v>358</v>
      </c>
      <c r="M522">
        <v>970</v>
      </c>
      <c r="N522">
        <v>970</v>
      </c>
      <c r="O522" t="s">
        <v>177</v>
      </c>
      <c r="P522">
        <v>40</v>
      </c>
      <c r="Q522">
        <f>N522/P522</f>
      </c>
      <c r="R522" s="1">
        <v>117</v>
      </c>
      <c r="S522" s="1">
        <v>117</v>
      </c>
      <c r="T522">
        <f>IF(R522=S522,"相符","不相符")</f>
      </c>
      <c r="U522" t="s">
        <v>359</v>
      </c>
      <c r="V522">
        <f>P522*R522</f>
      </c>
      <c r="W522">
        <f>Q522*V522</f>
      </c>
      <c r="X522">
        <v>540</v>
      </c>
      <c r="Y522" t="s">
        <v>409</v>
      </c>
      <c r="Z522" t="s">
        <v>213</v>
      </c>
      <c r="AA522"/>
      <c r="AB522"/>
      <c r="AC522" t="s">
        <v>43</v>
      </c>
      <c r="AD522"/>
    </row>
    <row r="523">
      <c r="A523" t="s">
        <v>30</v>
      </c>
      <c r="B523" t="s">
        <v>31</v>
      </c>
      <c r="C523" t="s">
        <v>1298</v>
      </c>
      <c r="D523" t="s">
        <v>191</v>
      </c>
      <c r="E523" t="s">
        <v>192</v>
      </c>
      <c r="F523" s="2">
        <v>46291</v>
      </c>
      <c r="G523">
        <v>1</v>
      </c>
      <c r="H523" t="s">
        <v>143</v>
      </c>
      <c r="I523" t="s">
        <v>144</v>
      </c>
      <c r="J523" t="s">
        <v>145</v>
      </c>
      <c r="K523" t="s">
        <v>57</v>
      </c>
      <c r="L523" t="s">
        <v>146</v>
      </c>
      <c r="M523">
        <v>536</v>
      </c>
      <c r="N523">
        <v>536</v>
      </c>
      <c r="O523" t="s">
        <v>40</v>
      </c>
      <c r="P523">
        <v>6</v>
      </c>
      <c r="Q523">
        <f>N523/P523</f>
      </c>
      <c r="R523" s="1">
        <v>129</v>
      </c>
      <c r="S523" s="1">
        <v>129</v>
      </c>
      <c r="T523">
        <f>IF(R523=S523,"相符","不相符")</f>
      </c>
      <c r="U523" t="s">
        <v>145</v>
      </c>
      <c r="V523">
        <f>P523*R523</f>
      </c>
      <c r="W523">
        <f>Q523*V523</f>
      </c>
      <c r="X523">
        <v>540</v>
      </c>
      <c r="Y523" t="s">
        <v>305</v>
      </c>
      <c r="Z523" t="s">
        <v>213</v>
      </c>
      <c r="AA523"/>
      <c r="AB523"/>
      <c r="AC523" t="s">
        <v>43</v>
      </c>
      <c r="AD523"/>
    </row>
    <row r="524">
      <c r="A524" t="s">
        <v>30</v>
      </c>
      <c r="B524" t="s">
        <v>31</v>
      </c>
      <c r="C524" t="s">
        <v>1298</v>
      </c>
      <c r="D524" t="s">
        <v>191</v>
      </c>
      <c r="E524" t="s">
        <v>192</v>
      </c>
      <c r="F524" s="2">
        <v>46291</v>
      </c>
      <c r="G524">
        <v>2</v>
      </c>
      <c r="H524" t="s">
        <v>79</v>
      </c>
      <c r="I524" t="s">
        <v>80</v>
      </c>
      <c r="J524" t="s">
        <v>81</v>
      </c>
      <c r="K524" t="s">
        <v>82</v>
      </c>
      <c r="L524" t="s">
        <v>83</v>
      </c>
      <c r="M524">
        <v>263</v>
      </c>
      <c r="N524">
        <v>263</v>
      </c>
      <c r="O524" t="s">
        <v>84</v>
      </c>
      <c r="P524">
        <v>1</v>
      </c>
      <c r="Q524">
        <f>N524/P524</f>
      </c>
      <c r="R524" s="1">
        <v>438</v>
      </c>
      <c r="S524" s="1">
        <v>438</v>
      </c>
      <c r="T524">
        <f>IF(R524=S524,"相符","不相符")</f>
      </c>
      <c r="U524" t="s">
        <v>85</v>
      </c>
      <c r="V524">
        <f>P524*R524</f>
      </c>
      <c r="W524">
        <f>Q524*V524</f>
      </c>
      <c r="X524">
        <v>730</v>
      </c>
      <c r="Y524" t="s">
        <v>1299</v>
      </c>
      <c r="Z524" t="s">
        <v>213</v>
      </c>
      <c r="AA524"/>
      <c r="AB524"/>
      <c r="AC524" t="s">
        <v>43</v>
      </c>
      <c r="AD524"/>
    </row>
    <row r="525">
      <c r="A525" t="s">
        <v>30</v>
      </c>
      <c r="B525" t="s">
        <v>31</v>
      </c>
      <c r="C525" t="s">
        <v>1298</v>
      </c>
      <c r="D525" t="s">
        <v>191</v>
      </c>
      <c r="E525" t="s">
        <v>192</v>
      </c>
      <c r="F525" s="2">
        <v>46291</v>
      </c>
      <c r="G525">
        <v>3</v>
      </c>
      <c r="H525" t="s">
        <v>338</v>
      </c>
      <c r="I525" t="s">
        <v>339</v>
      </c>
      <c r="J525" t="s">
        <v>340</v>
      </c>
      <c r="K525" t="s">
        <v>82</v>
      </c>
      <c r="L525" t="s">
        <v>341</v>
      </c>
      <c r="M525">
        <v>262</v>
      </c>
      <c r="N525">
        <v>262</v>
      </c>
      <c r="O525" t="s">
        <v>84</v>
      </c>
      <c r="P525">
        <v>1</v>
      </c>
      <c r="Q525">
        <f>N525/P525</f>
      </c>
      <c r="R525" s="1">
        <v>438</v>
      </c>
      <c r="S525" s="1">
        <v>438</v>
      </c>
      <c r="T525">
        <f>IF(R525=S525,"相符","不相符")</f>
      </c>
      <c r="U525" t="s">
        <v>342</v>
      </c>
      <c r="V525">
        <f>P525*R525</f>
      </c>
      <c r="W525">
        <f>Q525*V525</f>
      </c>
      <c r="X525">
        <v>730</v>
      </c>
      <c r="Y525" t="s">
        <v>1300</v>
      </c>
      <c r="Z525" t="s">
        <v>213</v>
      </c>
      <c r="AA525"/>
      <c r="AB525"/>
      <c r="AC525" t="s">
        <v>43</v>
      </c>
      <c r="AD525"/>
    </row>
    <row r="526">
      <c r="A526" t="s">
        <v>30</v>
      </c>
      <c r="B526" t="s">
        <v>31</v>
      </c>
      <c r="C526" t="s">
        <v>1298</v>
      </c>
      <c r="D526" t="s">
        <v>191</v>
      </c>
      <c r="E526" t="s">
        <v>192</v>
      </c>
      <c r="F526" s="2">
        <v>46291</v>
      </c>
      <c r="G526">
        <v>4</v>
      </c>
      <c r="H526" t="s">
        <v>510</v>
      </c>
      <c r="I526" t="s">
        <v>511</v>
      </c>
      <c r="J526" t="s">
        <v>512</v>
      </c>
      <c r="K526" t="s">
        <v>82</v>
      </c>
      <c r="L526" t="s">
        <v>513</v>
      </c>
      <c r="M526">
        <v>259</v>
      </c>
      <c r="N526">
        <v>259</v>
      </c>
      <c r="O526" t="s">
        <v>84</v>
      </c>
      <c r="P526">
        <v>1</v>
      </c>
      <c r="Q526">
        <f>N526/P526</f>
      </c>
      <c r="R526" s="1">
        <v>438</v>
      </c>
      <c r="S526" s="1">
        <v>438</v>
      </c>
      <c r="T526">
        <f>IF(R526=S526,"相符","不相符")</f>
      </c>
      <c r="U526" t="s">
        <v>512</v>
      </c>
      <c r="V526">
        <f>P526*R526</f>
      </c>
      <c r="W526">
        <f>Q526*V526</f>
      </c>
      <c r="X526">
        <v>730</v>
      </c>
      <c r="Y526" t="s">
        <v>1301</v>
      </c>
      <c r="Z526" t="s">
        <v>213</v>
      </c>
      <c r="AA526"/>
      <c r="AB526"/>
      <c r="AC526" t="s">
        <v>43</v>
      </c>
      <c r="AD526"/>
    </row>
    <row r="527">
      <c r="A527" t="s">
        <v>30</v>
      </c>
      <c r="B527" t="s">
        <v>31</v>
      </c>
      <c r="C527" t="s">
        <v>1298</v>
      </c>
      <c r="D527" t="s">
        <v>191</v>
      </c>
      <c r="E527" t="s">
        <v>192</v>
      </c>
      <c r="F527" s="2">
        <v>46291</v>
      </c>
      <c r="G527">
        <v>5</v>
      </c>
      <c r="H527" t="s">
        <v>92</v>
      </c>
      <c r="I527" t="s">
        <v>93</v>
      </c>
      <c r="J527" t="s">
        <v>94</v>
      </c>
      <c r="K527" t="s">
        <v>82</v>
      </c>
      <c r="L527" t="s">
        <v>95</v>
      </c>
      <c r="M527">
        <v>261</v>
      </c>
      <c r="N527">
        <v>261</v>
      </c>
      <c r="O527" t="s">
        <v>84</v>
      </c>
      <c r="P527">
        <v>1</v>
      </c>
      <c r="Q527">
        <f>N527/P527</f>
      </c>
      <c r="R527" s="1">
        <v>438</v>
      </c>
      <c r="S527" s="1">
        <v>438</v>
      </c>
      <c r="T527">
        <f>IF(R527=S527,"相符","不相符")</f>
      </c>
      <c r="U527" t="s">
        <v>94</v>
      </c>
      <c r="V527">
        <f>P527*R527</f>
      </c>
      <c r="W527">
        <f>Q527*V527</f>
      </c>
      <c r="X527">
        <v>730</v>
      </c>
      <c r="Y527" t="s">
        <v>1300</v>
      </c>
      <c r="Z527" t="s">
        <v>213</v>
      </c>
      <c r="AA527"/>
      <c r="AB527"/>
      <c r="AC527" t="s">
        <v>43</v>
      </c>
      <c r="AD527"/>
    </row>
    <row r="528">
      <c r="A528" t="s">
        <v>30</v>
      </c>
      <c r="B528" t="s">
        <v>233</v>
      </c>
      <c r="C528" t="s">
        <v>1302</v>
      </c>
      <c r="D528" t="s">
        <v>191</v>
      </c>
      <c r="E528" t="s">
        <v>192</v>
      </c>
      <c r="F528" s="2">
        <v>46289</v>
      </c>
      <c r="G528">
        <v>1</v>
      </c>
      <c r="H528" t="s">
        <v>249</v>
      </c>
      <c r="I528" t="s">
        <v>250</v>
      </c>
      <c r="J528" t="s">
        <v>251</v>
      </c>
      <c r="K528" t="s">
        <v>238</v>
      </c>
      <c r="L528" t="s">
        <v>252</v>
      </c>
      <c r="M528">
        <v>396</v>
      </c>
      <c r="N528">
        <v>396</v>
      </c>
      <c r="O528" t="s">
        <v>177</v>
      </c>
      <c r="P528">
        <v>6</v>
      </c>
      <c r="Q528">
        <f>N528/P528</f>
      </c>
      <c r="R528" s="1">
        <v>137</v>
      </c>
      <c r="S528" s="1">
        <v>137</v>
      </c>
      <c r="T528">
        <f>IF(R528=S528,"相符","不相符")</f>
      </c>
      <c r="U528"/>
      <c r="V528">
        <f>P528*R528</f>
      </c>
      <c r="W528">
        <f>Q528*V528</f>
      </c>
      <c r="X528">
        <v>1095</v>
      </c>
      <c r="Y528" t="s">
        <v>853</v>
      </c>
      <c r="Z528" t="s">
        <v>213</v>
      </c>
      <c r="AA528"/>
      <c r="AB528"/>
      <c r="AC528" t="s">
        <v>243</v>
      </c>
      <c r="AD528"/>
    </row>
    <row r="529">
      <c r="A529" t="s">
        <v>30</v>
      </c>
      <c r="B529" t="s">
        <v>31</v>
      </c>
      <c r="C529" t="s">
        <v>1303</v>
      </c>
      <c r="D529" t="s">
        <v>191</v>
      </c>
      <c r="E529" t="s">
        <v>192</v>
      </c>
      <c r="F529" s="2">
        <v>46286</v>
      </c>
      <c r="G529">
        <v>1</v>
      </c>
      <c r="H529" t="s">
        <v>174</v>
      </c>
      <c r="I529" t="s">
        <v>175</v>
      </c>
      <c r="J529" t="s">
        <v>171</v>
      </c>
      <c r="K529" t="s">
        <v>69</v>
      </c>
      <c r="L529" t="s">
        <v>176</v>
      </c>
      <c r="M529">
        <v>2800</v>
      </c>
      <c r="N529">
        <v>2800</v>
      </c>
      <c r="O529" t="s">
        <v>177</v>
      </c>
      <c r="P529">
        <v>40</v>
      </c>
      <c r="Q529">
        <f>N529/P529</f>
      </c>
      <c r="R529" s="1">
        <v>117</v>
      </c>
      <c r="S529" s="1">
        <v>117</v>
      </c>
      <c r="T529">
        <f>IF(R529=S529,"相符","不相符")</f>
      </c>
      <c r="U529" t="s">
        <v>173</v>
      </c>
      <c r="V529">
        <f>P529*R529</f>
      </c>
      <c r="W529">
        <f>Q529*V529</f>
      </c>
      <c r="X529">
        <v>540</v>
      </c>
      <c r="Y529" t="s">
        <v>652</v>
      </c>
      <c r="Z529" t="s">
        <v>213</v>
      </c>
      <c r="AA529"/>
      <c r="AB529"/>
      <c r="AC529" t="s">
        <v>43</v>
      </c>
      <c r="AD529"/>
    </row>
    <row r="530">
      <c r="A530" t="s">
        <v>30</v>
      </c>
      <c r="B530" t="s">
        <v>31</v>
      </c>
      <c r="C530" t="s">
        <v>1303</v>
      </c>
      <c r="D530" t="s">
        <v>191</v>
      </c>
      <c r="E530" t="s">
        <v>192</v>
      </c>
      <c r="F530" s="2">
        <v>46286</v>
      </c>
      <c r="G530">
        <v>2</v>
      </c>
      <c r="H530" t="s">
        <v>184</v>
      </c>
      <c r="I530" t="s">
        <v>185</v>
      </c>
      <c r="J530" t="s">
        <v>186</v>
      </c>
      <c r="K530" t="s">
        <v>69</v>
      </c>
      <c r="L530" t="s">
        <v>187</v>
      </c>
      <c r="M530">
        <v>1120</v>
      </c>
      <c r="N530">
        <v>1120</v>
      </c>
      <c r="O530" t="s">
        <v>177</v>
      </c>
      <c r="P530">
        <v>40</v>
      </c>
      <c r="Q530">
        <f>N530/P530</f>
      </c>
      <c r="R530" s="1">
        <v>118.2</v>
      </c>
      <c r="S530" s="1">
        <v>118</v>
      </c>
      <c r="T530">
        <f>IF(R530=S530,"相符","不相符")</f>
      </c>
      <c r="U530" t="s">
        <v>186</v>
      </c>
      <c r="V530">
        <f>P530*R530</f>
      </c>
      <c r="W530">
        <f>Q530*V530</f>
      </c>
      <c r="X530">
        <v>540</v>
      </c>
      <c r="Y530" t="s">
        <v>673</v>
      </c>
      <c r="Z530" t="s">
        <v>213</v>
      </c>
      <c r="AA530"/>
      <c r="AB530"/>
      <c r="AC530" t="s">
        <v>43</v>
      </c>
      <c r="AD530"/>
    </row>
    <row r="531">
      <c r="A531" t="s">
        <v>30</v>
      </c>
      <c r="B531" t="s">
        <v>233</v>
      </c>
      <c r="C531" t="s">
        <v>1304</v>
      </c>
      <c r="D531" t="s">
        <v>191</v>
      </c>
      <c r="E531" t="s">
        <v>192</v>
      </c>
      <c r="F531" s="2">
        <v>46286</v>
      </c>
      <c r="G531">
        <v>1</v>
      </c>
      <c r="H531" t="s">
        <v>249</v>
      </c>
      <c r="I531" t="s">
        <v>250</v>
      </c>
      <c r="J531" t="s">
        <v>251</v>
      </c>
      <c r="K531" t="s">
        <v>238</v>
      </c>
      <c r="L531" t="s">
        <v>252</v>
      </c>
      <c r="M531">
        <v>1188</v>
      </c>
      <c r="N531">
        <v>1188</v>
      </c>
      <c r="O531" t="s">
        <v>177</v>
      </c>
      <c r="P531">
        <v>6</v>
      </c>
      <c r="Q531">
        <f>N531/P531</f>
      </c>
      <c r="R531" s="1">
        <v>137</v>
      </c>
      <c r="S531" s="1">
        <v>137</v>
      </c>
      <c r="T531">
        <f>IF(R531=S531,"相符","不相符")</f>
      </c>
      <c r="U531"/>
      <c r="V531">
        <f>P531*R531</f>
      </c>
      <c r="W531">
        <f>Q531*V531</f>
      </c>
      <c r="X531">
        <v>1095</v>
      </c>
      <c r="Y531" t="s">
        <v>625</v>
      </c>
      <c r="Z531" t="s">
        <v>213</v>
      </c>
      <c r="AA531"/>
      <c r="AB531"/>
      <c r="AC531" t="s">
        <v>243</v>
      </c>
      <c r="AD531"/>
    </row>
    <row r="532">
      <c r="A532" t="s">
        <v>30</v>
      </c>
      <c r="B532" t="s">
        <v>233</v>
      </c>
      <c r="C532" t="s">
        <v>1305</v>
      </c>
      <c r="D532" t="s">
        <v>262</v>
      </c>
      <c r="E532" t="s">
        <v>263</v>
      </c>
      <c r="F532" s="2">
        <v>46286</v>
      </c>
      <c r="G532">
        <v>1</v>
      </c>
      <c r="H532" t="s">
        <v>278</v>
      </c>
      <c r="I532" t="s">
        <v>279</v>
      </c>
      <c r="J532" t="s">
        <v>280</v>
      </c>
      <c r="K532" t="s">
        <v>238</v>
      </c>
      <c r="L532" t="s">
        <v>281</v>
      </c>
      <c r="M532">
        <v>3072</v>
      </c>
      <c r="N532">
        <v>3072</v>
      </c>
      <c r="O532" t="s">
        <v>177</v>
      </c>
      <c r="P532">
        <v>12</v>
      </c>
      <c r="Q532">
        <f>N532/P532</f>
      </c>
      <c r="R532" s="1">
        <v>74</v>
      </c>
      <c r="S532" s="1">
        <v>74</v>
      </c>
      <c r="T532">
        <f>IF(R532=S532,"相符","不相符")</f>
      </c>
      <c r="U532"/>
      <c r="V532">
        <f>P532*R532</f>
      </c>
      <c r="W532">
        <f>Q532*V532</f>
      </c>
      <c r="X532">
        <v>1095</v>
      </c>
      <c r="Y532" t="s">
        <v>625</v>
      </c>
      <c r="Z532" t="s">
        <v>213</v>
      </c>
      <c r="AA532"/>
      <c r="AB532"/>
      <c r="AC532" t="s">
        <v>243</v>
      </c>
      <c r="AD532"/>
    </row>
    <row r="533">
      <c r="A533" t="s">
        <v>30</v>
      </c>
      <c r="B533" t="s">
        <v>254</v>
      </c>
      <c r="C533" t="s">
        <v>1305</v>
      </c>
      <c r="D533" t="s">
        <v>262</v>
      </c>
      <c r="E533" t="s">
        <v>263</v>
      </c>
      <c r="F533" s="2">
        <v>46286</v>
      </c>
      <c r="G533">
        <v>2</v>
      </c>
      <c r="H533" t="s">
        <v>867</v>
      </c>
      <c r="I533" t="s">
        <v>868</v>
      </c>
      <c r="J533" t="s">
        <v>856</v>
      </c>
      <c r="K533" t="s">
        <v>258</v>
      </c>
      <c r="L533" t="s">
        <v>869</v>
      </c>
      <c r="M533">
        <v>640</v>
      </c>
      <c r="N533">
        <v>640</v>
      </c>
      <c r="O533" t="s">
        <v>197</v>
      </c>
      <c r="P533">
        <v>8</v>
      </c>
      <c r="Q533">
        <f>N533/P533</f>
      </c>
      <c r="R533" s="1">
        <v>60</v>
      </c>
      <c r="S533" s="1">
        <v>60</v>
      </c>
      <c r="T533">
        <f>IF(R533=S533,"相符","不相符")</f>
      </c>
      <c r="U533"/>
      <c r="V533">
        <f>P533*R533</f>
      </c>
      <c r="W533">
        <f>Q533*V533</f>
      </c>
      <c r="X533">
        <v>1825</v>
      </c>
      <c r="Y533" t="s">
        <v>1306</v>
      </c>
      <c r="Z533" t="s">
        <v>213</v>
      </c>
      <c r="AA533"/>
      <c r="AB533"/>
      <c r="AC533" t="s">
        <v>243</v>
      </c>
      <c r="AD533"/>
    </row>
    <row r="534">
      <c r="A534" t="s">
        <v>30</v>
      </c>
      <c r="B534" t="s">
        <v>233</v>
      </c>
      <c r="C534" t="s">
        <v>1305</v>
      </c>
      <c r="D534" t="s">
        <v>262</v>
      </c>
      <c r="E534" t="s">
        <v>263</v>
      </c>
      <c r="F534" s="2">
        <v>46286</v>
      </c>
      <c r="G534">
        <v>3</v>
      </c>
      <c r="H534" t="s">
        <v>870</v>
      </c>
      <c r="I534" t="s">
        <v>871</v>
      </c>
      <c r="J534" t="s">
        <v>872</v>
      </c>
      <c r="K534" t="s">
        <v>238</v>
      </c>
      <c r="L534" t="s">
        <v>873</v>
      </c>
      <c r="M534">
        <v>2430</v>
      </c>
      <c r="N534">
        <v>2430</v>
      </c>
      <c r="O534" t="s">
        <v>177</v>
      </c>
      <c r="P534">
        <v>6</v>
      </c>
      <c r="Q534">
        <f>N534/P534</f>
      </c>
      <c r="R534" s="1">
        <v>116</v>
      </c>
      <c r="S534" s="1">
        <v>116</v>
      </c>
      <c r="T534">
        <f>IF(R534=S534,"相符","不相符")</f>
      </c>
      <c r="U534"/>
      <c r="V534">
        <f>P534*R534</f>
      </c>
      <c r="W534">
        <f>Q534*V534</f>
      </c>
      <c r="X534">
        <v>1095</v>
      </c>
      <c r="Y534" t="s">
        <v>625</v>
      </c>
      <c r="Z534" t="s">
        <v>213</v>
      </c>
      <c r="AA534"/>
      <c r="AB534"/>
      <c r="AC534" t="s">
        <v>243</v>
      </c>
      <c r="AD534"/>
    </row>
    <row r="535">
      <c r="A535" t="s">
        <v>30</v>
      </c>
      <c r="B535" t="s">
        <v>254</v>
      </c>
      <c r="C535" t="s">
        <v>1305</v>
      </c>
      <c r="D535" t="s">
        <v>262</v>
      </c>
      <c r="E535" t="s">
        <v>263</v>
      </c>
      <c r="F535" s="2">
        <v>46286</v>
      </c>
      <c r="G535">
        <v>4</v>
      </c>
      <c r="H535" t="s">
        <v>255</v>
      </c>
      <c r="I535" t="s">
        <v>256</v>
      </c>
      <c r="J535" t="s">
        <v>257</v>
      </c>
      <c r="K535" t="s">
        <v>258</v>
      </c>
      <c r="L535" t="s">
        <v>259</v>
      </c>
      <c r="M535">
        <v>2160</v>
      </c>
      <c r="N535">
        <v>2160</v>
      </c>
      <c r="O535" t="s">
        <v>197</v>
      </c>
      <c r="P535">
        <v>10</v>
      </c>
      <c r="Q535">
        <f>N535/P535</f>
      </c>
      <c r="R535" s="1">
        <v>44</v>
      </c>
      <c r="S535" s="1">
        <v>44</v>
      </c>
      <c r="T535">
        <f>IF(R535=S535,"相符","不相符")</f>
      </c>
      <c r="U535"/>
      <c r="V535">
        <f>P535*R535</f>
      </c>
      <c r="W535">
        <f>Q535*V535</f>
      </c>
      <c r="X535">
        <v>1095</v>
      </c>
      <c r="Y535" t="s">
        <v>1307</v>
      </c>
      <c r="Z535" t="s">
        <v>213</v>
      </c>
      <c r="AA535"/>
      <c r="AB535"/>
      <c r="AC535" t="s">
        <v>243</v>
      </c>
      <c r="AD535"/>
    </row>
    <row r="536">
      <c r="A536" t="s">
        <v>30</v>
      </c>
      <c r="B536" t="s">
        <v>233</v>
      </c>
      <c r="C536" t="s">
        <v>1308</v>
      </c>
      <c r="D536" t="s">
        <v>33</v>
      </c>
      <c r="E536" t="s">
        <v>34</v>
      </c>
      <c r="F536" s="2">
        <v>46287</v>
      </c>
      <c r="G536">
        <v>1</v>
      </c>
      <c r="H536" t="s">
        <v>249</v>
      </c>
      <c r="I536" t="s">
        <v>250</v>
      </c>
      <c r="J536" t="s">
        <v>251</v>
      </c>
      <c r="K536" t="s">
        <v>238</v>
      </c>
      <c r="L536" t="s">
        <v>252</v>
      </c>
      <c r="M536">
        <v>792</v>
      </c>
      <c r="N536">
        <v>792</v>
      </c>
      <c r="O536" t="s">
        <v>177</v>
      </c>
      <c r="P536">
        <v>6</v>
      </c>
      <c r="Q536">
        <f>N536/P536</f>
      </c>
      <c r="R536" s="1">
        <v>137</v>
      </c>
      <c r="S536" s="1">
        <v>137</v>
      </c>
      <c r="T536">
        <f>IF(R536=S536,"相符","不相符")</f>
      </c>
      <c r="U536"/>
      <c r="V536">
        <f>P536*R536</f>
      </c>
      <c r="W536">
        <f>Q536*V536</f>
      </c>
      <c r="X536">
        <v>1095</v>
      </c>
      <c r="Y536" t="s">
        <v>894</v>
      </c>
      <c r="Z536" t="s">
        <v>213</v>
      </c>
      <c r="AA536"/>
      <c r="AB536"/>
      <c r="AC536" t="s">
        <v>243</v>
      </c>
      <c r="AD536"/>
    </row>
    <row r="537">
      <c r="A537" t="s">
        <v>30</v>
      </c>
      <c r="B537" t="s">
        <v>233</v>
      </c>
      <c r="C537" t="s">
        <v>1309</v>
      </c>
      <c r="D537" t="s">
        <v>191</v>
      </c>
      <c r="E537" t="s">
        <v>192</v>
      </c>
      <c r="F537" s="2">
        <v>46287</v>
      </c>
      <c r="G537">
        <v>1</v>
      </c>
      <c r="H537" t="s">
        <v>1310</v>
      </c>
      <c r="I537" t="s">
        <v>1311</v>
      </c>
      <c r="J537" t="s">
        <v>1312</v>
      </c>
      <c r="K537" t="s">
        <v>238</v>
      </c>
      <c r="L537" t="s">
        <v>1313</v>
      </c>
      <c r="M537">
        <v>348</v>
      </c>
      <c r="N537">
        <v>348</v>
      </c>
      <c r="O537" t="s">
        <v>177</v>
      </c>
      <c r="P537">
        <v>6</v>
      </c>
      <c r="Q537">
        <f>N537/P537</f>
      </c>
      <c r="R537" s="1">
        <v>129</v>
      </c>
      <c r="S537" s="1">
        <v>129</v>
      </c>
      <c r="T537">
        <f>IF(R537=S537,"相符","不相符")</f>
      </c>
      <c r="U537"/>
      <c r="V537">
        <f>P537*R537</f>
      </c>
      <c r="W537">
        <f>Q537*V537</f>
      </c>
      <c r="X537">
        <v>1095</v>
      </c>
      <c r="Y537" t="s">
        <v>894</v>
      </c>
      <c r="Z537" t="s">
        <v>1314</v>
      </c>
      <c r="AA537"/>
      <c r="AB537"/>
      <c r="AC537" t="s">
        <v>243</v>
      </c>
      <c r="AD537"/>
    </row>
    <row r="538">
      <c r="A538" t="s">
        <v>30</v>
      </c>
      <c r="B538" t="s">
        <v>233</v>
      </c>
      <c r="C538" t="s">
        <v>1309</v>
      </c>
      <c r="D538" t="s">
        <v>191</v>
      </c>
      <c r="E538" t="s">
        <v>192</v>
      </c>
      <c r="F538" s="2">
        <v>46287</v>
      </c>
      <c r="G538">
        <v>2</v>
      </c>
      <c r="H538" t="s">
        <v>1315</v>
      </c>
      <c r="I538" t="s">
        <v>1316</v>
      </c>
      <c r="J538" t="s">
        <v>1317</v>
      </c>
      <c r="K538" t="s">
        <v>238</v>
      </c>
      <c r="L538" t="s">
        <v>1318</v>
      </c>
      <c r="M538">
        <v>342</v>
      </c>
      <c r="N538">
        <v>342</v>
      </c>
      <c r="O538" t="s">
        <v>177</v>
      </c>
      <c r="P538">
        <v>6</v>
      </c>
      <c r="Q538">
        <f>N538/P538</f>
      </c>
      <c r="R538" s="1">
        <v>123</v>
      </c>
      <c r="S538" s="1">
        <v>123</v>
      </c>
      <c r="T538">
        <f>IF(R538=S538,"相符","不相符")</f>
      </c>
      <c r="U538"/>
      <c r="V538">
        <f>P538*R538</f>
      </c>
      <c r="W538">
        <f>Q538*V538</f>
      </c>
      <c r="X538">
        <v>1095</v>
      </c>
      <c r="Y538" t="s">
        <v>894</v>
      </c>
      <c r="Z538" t="s">
        <v>1314</v>
      </c>
      <c r="AA538"/>
      <c r="AB538"/>
      <c r="AC538" t="s">
        <v>243</v>
      </c>
      <c r="AD538"/>
    </row>
    <row r="539">
      <c r="A539" t="s">
        <v>30</v>
      </c>
      <c r="B539" t="s">
        <v>233</v>
      </c>
      <c r="C539" t="s">
        <v>1309</v>
      </c>
      <c r="D539" t="s">
        <v>191</v>
      </c>
      <c r="E539" t="s">
        <v>192</v>
      </c>
      <c r="F539" s="2">
        <v>46287</v>
      </c>
      <c r="G539">
        <v>3</v>
      </c>
      <c r="H539" t="s">
        <v>870</v>
      </c>
      <c r="I539" t="s">
        <v>871</v>
      </c>
      <c r="J539" t="s">
        <v>872</v>
      </c>
      <c r="K539" t="s">
        <v>238</v>
      </c>
      <c r="L539" t="s">
        <v>873</v>
      </c>
      <c r="M539">
        <v>1944</v>
      </c>
      <c r="N539">
        <v>1944</v>
      </c>
      <c r="O539" t="s">
        <v>177</v>
      </c>
      <c r="P539">
        <v>6</v>
      </c>
      <c r="Q539">
        <f>N539/P539</f>
      </c>
      <c r="R539" s="1">
        <v>116</v>
      </c>
      <c r="S539" s="1">
        <v>116</v>
      </c>
      <c r="T539">
        <f>IF(R539=S539,"相符","不相符")</f>
      </c>
      <c r="U539"/>
      <c r="V539">
        <f>P539*R539</f>
      </c>
      <c r="W539">
        <f>Q539*V539</f>
      </c>
      <c r="X539">
        <v>1095</v>
      </c>
      <c r="Y539" t="s">
        <v>894</v>
      </c>
      <c r="Z539" t="s">
        <v>1319</v>
      </c>
      <c r="AA539"/>
      <c r="AB539"/>
      <c r="AC539" t="s">
        <v>243</v>
      </c>
      <c r="AD539"/>
    </row>
    <row r="540">
      <c r="A540" t="s">
        <v>30</v>
      </c>
      <c r="B540" t="s">
        <v>233</v>
      </c>
      <c r="C540" t="s">
        <v>1309</v>
      </c>
      <c r="D540" t="s">
        <v>191</v>
      </c>
      <c r="E540" t="s">
        <v>192</v>
      </c>
      <c r="F540" s="2">
        <v>46287</v>
      </c>
      <c r="G540">
        <v>4</v>
      </c>
      <c r="H540" t="s">
        <v>1320</v>
      </c>
      <c r="I540" t="s">
        <v>1321</v>
      </c>
      <c r="J540" t="s">
        <v>1322</v>
      </c>
      <c r="K540" t="s">
        <v>238</v>
      </c>
      <c r="L540" t="s">
        <v>1323</v>
      </c>
      <c r="M540">
        <v>18</v>
      </c>
      <c r="N540">
        <v>18</v>
      </c>
      <c r="O540" t="s">
        <v>240</v>
      </c>
      <c r="P540">
        <v>6</v>
      </c>
      <c r="Q540">
        <f>N540/P540</f>
      </c>
      <c r="R540" s="1">
        <v>203</v>
      </c>
      <c r="S540" s="1">
        <v>203</v>
      </c>
      <c r="T540">
        <f>IF(R540=S540,"相符","不相符")</f>
      </c>
      <c r="U540"/>
      <c r="V540">
        <f>P540*R540</f>
      </c>
      <c r="W540">
        <f>Q540*V540</f>
      </c>
      <c r="X540">
        <v>1095</v>
      </c>
      <c r="Y540" t="s">
        <v>894</v>
      </c>
      <c r="Z540" t="s">
        <v>1314</v>
      </c>
      <c r="AA540"/>
      <c r="AB540"/>
      <c r="AC540" t="s">
        <v>243</v>
      </c>
      <c r="AD540"/>
    </row>
    <row r="541">
      <c r="A541" t="s">
        <v>30</v>
      </c>
      <c r="B541" t="s">
        <v>254</v>
      </c>
      <c r="C541" t="s">
        <v>1309</v>
      </c>
      <c r="D541" t="s">
        <v>191</v>
      </c>
      <c r="E541" t="s">
        <v>192</v>
      </c>
      <c r="F541" s="2">
        <v>46287</v>
      </c>
      <c r="G541">
        <v>5</v>
      </c>
      <c r="H541" t="s">
        <v>255</v>
      </c>
      <c r="I541" t="s">
        <v>256</v>
      </c>
      <c r="J541" t="s">
        <v>257</v>
      </c>
      <c r="K541" t="s">
        <v>258</v>
      </c>
      <c r="L541" t="s">
        <v>259</v>
      </c>
      <c r="M541">
        <v>2160</v>
      </c>
      <c r="N541">
        <v>2160</v>
      </c>
      <c r="O541" t="s">
        <v>197</v>
      </c>
      <c r="P541">
        <v>10</v>
      </c>
      <c r="Q541">
        <f>N541/P541</f>
      </c>
      <c r="R541" s="1">
        <v>44</v>
      </c>
      <c r="S541" s="1">
        <v>44</v>
      </c>
      <c r="T541">
        <f>IF(R541=S541,"相符","不相符")</f>
      </c>
      <c r="U541"/>
      <c r="V541">
        <f>P541*R541</f>
      </c>
      <c r="W541">
        <f>Q541*V541</f>
      </c>
      <c r="X541">
        <v>1095</v>
      </c>
      <c r="Y541" t="s">
        <v>1324</v>
      </c>
      <c r="Z541" t="s">
        <v>1325</v>
      </c>
      <c r="AA541"/>
      <c r="AB541"/>
      <c r="AC541" t="s">
        <v>243</v>
      </c>
      <c r="AD541"/>
    </row>
    <row r="542">
      <c r="A542" t="s">
        <v>30</v>
      </c>
      <c r="B542" t="s">
        <v>254</v>
      </c>
      <c r="C542" t="s">
        <v>1326</v>
      </c>
      <c r="D542" t="s">
        <v>262</v>
      </c>
      <c r="E542" t="s">
        <v>263</v>
      </c>
      <c r="F542" s="2">
        <v>46286</v>
      </c>
      <c r="G542">
        <v>1</v>
      </c>
      <c r="H542" t="s">
        <v>272</v>
      </c>
      <c r="I542" t="s">
        <v>273</v>
      </c>
      <c r="J542" t="s">
        <v>274</v>
      </c>
      <c r="K542" t="s">
        <v>258</v>
      </c>
      <c r="L542" t="s">
        <v>275</v>
      </c>
      <c r="M542">
        <v>64</v>
      </c>
      <c r="N542">
        <v>64</v>
      </c>
      <c r="O542" t="s">
        <v>197</v>
      </c>
      <c r="P542">
        <v>8</v>
      </c>
      <c r="Q542">
        <f>N542/P542</f>
      </c>
      <c r="R542" s="1">
        <v>65</v>
      </c>
      <c r="S542" s="1">
        <v>65</v>
      </c>
      <c r="T542">
        <f>IF(R542=S542,"相符","不相符")</f>
      </c>
      <c r="U542" t="s">
        <v>276</v>
      </c>
      <c r="V542">
        <f>P542*R542</f>
      </c>
      <c r="W542">
        <f>Q542*V542</f>
      </c>
      <c r="X542">
        <v>1825</v>
      </c>
      <c r="Y542" t="s">
        <v>1306</v>
      </c>
      <c r="Z542" t="s">
        <v>213</v>
      </c>
      <c r="AA542"/>
      <c r="AB542"/>
      <c r="AC542" t="s">
        <v>243</v>
      </c>
      <c r="AD542"/>
    </row>
    <row r="543">
      <c r="A543" t="s">
        <v>30</v>
      </c>
      <c r="B543" t="s">
        <v>31</v>
      </c>
      <c r="C543" t="s">
        <v>1327</v>
      </c>
      <c r="D543" t="s">
        <v>567</v>
      </c>
      <c r="E543" t="s">
        <v>568</v>
      </c>
      <c r="F543" s="2">
        <v>46279</v>
      </c>
      <c r="G543">
        <v>1</v>
      </c>
      <c r="H543" t="s">
        <v>214</v>
      </c>
      <c r="I543" t="s">
        <v>215</v>
      </c>
      <c r="J543" t="s">
        <v>216</v>
      </c>
      <c r="K543" t="s">
        <v>57</v>
      </c>
      <c r="L543" t="s">
        <v>217</v>
      </c>
      <c r="M543">
        <v>44</v>
      </c>
      <c r="N543">
        <v>44</v>
      </c>
      <c r="O543" t="s">
        <v>84</v>
      </c>
      <c r="P543">
        <v>1</v>
      </c>
      <c r="Q543">
        <f>N543/P543</f>
      </c>
      <c r="R543" s="1">
        <v>584</v>
      </c>
      <c r="S543" s="1">
        <v>584</v>
      </c>
      <c r="T543">
        <f>IF(R543=S543,"相符","不相符")</f>
      </c>
      <c r="U543" t="s">
        <v>216</v>
      </c>
      <c r="V543">
        <f>P543*R543</f>
      </c>
      <c r="W543">
        <f>Q543*V543</f>
      </c>
      <c r="X543">
        <v>730</v>
      </c>
      <c r="Y543" t="s">
        <v>1266</v>
      </c>
      <c r="Z543" t="s">
        <v>213</v>
      </c>
      <c r="AA543"/>
      <c r="AB543"/>
      <c r="AC543" t="s">
        <v>43</v>
      </c>
      <c r="AD543"/>
    </row>
    <row r="544">
      <c r="A544" t="s">
        <v>30</v>
      </c>
      <c r="B544" t="s">
        <v>254</v>
      </c>
      <c r="C544" t="s">
        <v>1328</v>
      </c>
      <c r="D544" t="s">
        <v>1275</v>
      </c>
      <c r="E544" t="s">
        <v>1276</v>
      </c>
      <c r="F544" s="2">
        <v>46284</v>
      </c>
      <c r="G544">
        <v>1</v>
      </c>
      <c r="H544" t="s">
        <v>583</v>
      </c>
      <c r="I544" t="s">
        <v>584</v>
      </c>
      <c r="J544" t="s">
        <v>585</v>
      </c>
      <c r="K544" t="s">
        <v>491</v>
      </c>
      <c r="L544" t="s">
        <v>586</v>
      </c>
      <c r="M544">
        <v>4</v>
      </c>
      <c r="N544">
        <v>4</v>
      </c>
      <c r="O544" t="s">
        <v>84</v>
      </c>
      <c r="P544">
        <v>1</v>
      </c>
      <c r="Q544">
        <f>N544/P544</f>
      </c>
      <c r="R544" s="1">
        <v>569</v>
      </c>
      <c r="S544" s="1">
        <v>569</v>
      </c>
      <c r="T544">
        <f>IF(R544=S544,"相符","不相符")</f>
      </c>
      <c r="U544"/>
      <c r="V544">
        <f>P544*R544</f>
      </c>
      <c r="W544">
        <f>Q544*V544</f>
      </c>
      <c r="X544">
        <v>1825</v>
      </c>
      <c r="Y544" t="s">
        <v>565</v>
      </c>
      <c r="Z544" t="s">
        <v>213</v>
      </c>
      <c r="AA544"/>
      <c r="AB544"/>
      <c r="AC544" t="s">
        <v>243</v>
      </c>
      <c r="AD544"/>
    </row>
    <row r="545">
      <c r="A545" t="s">
        <v>30</v>
      </c>
      <c r="B545" t="s">
        <v>31</v>
      </c>
      <c r="C545" t="s">
        <v>1329</v>
      </c>
      <c r="D545" t="s">
        <v>1330</v>
      </c>
      <c r="E545" t="s">
        <v>1331</v>
      </c>
      <c r="F545" s="2">
        <v>46286</v>
      </c>
      <c r="G545">
        <v>1</v>
      </c>
      <c r="H545" t="s">
        <v>295</v>
      </c>
      <c r="I545" t="s">
        <v>296</v>
      </c>
      <c r="J545" t="s">
        <v>297</v>
      </c>
      <c r="K545" t="s">
        <v>57</v>
      </c>
      <c r="L545" t="s">
        <v>298</v>
      </c>
      <c r="M545">
        <v>68</v>
      </c>
      <c r="N545">
        <v>68</v>
      </c>
      <c r="O545" t="s">
        <v>40</v>
      </c>
      <c r="P545">
        <v>6</v>
      </c>
      <c r="Q545">
        <f>N545/P545</f>
      </c>
      <c r="R545" s="1">
        <v>129</v>
      </c>
      <c r="S545" s="1">
        <v>129</v>
      </c>
      <c r="T545">
        <f>IF(R545=S545,"相符","不相符")</f>
      </c>
      <c r="U545" t="s">
        <v>297</v>
      </c>
      <c r="V545">
        <f>P545*R545</f>
      </c>
      <c r="W545">
        <f>Q545*V545</f>
      </c>
      <c r="X545">
        <v>540</v>
      </c>
      <c r="Y545" t="s">
        <v>508</v>
      </c>
      <c r="Z545" t="s">
        <v>213</v>
      </c>
      <c r="AA545"/>
      <c r="AB545"/>
      <c r="AC545" t="s">
        <v>43</v>
      </c>
      <c r="AD545"/>
    </row>
    <row r="546">
      <c r="A546" t="s">
        <v>30</v>
      </c>
      <c r="B546" t="s">
        <v>31</v>
      </c>
      <c r="C546" t="s">
        <v>1329</v>
      </c>
      <c r="D546" t="s">
        <v>1330</v>
      </c>
      <c r="E546" t="s">
        <v>1331</v>
      </c>
      <c r="F546" s="2">
        <v>46286</v>
      </c>
      <c r="G546">
        <v>2</v>
      </c>
      <c r="H546" t="s">
        <v>300</v>
      </c>
      <c r="I546" t="s">
        <v>301</v>
      </c>
      <c r="J546" t="s">
        <v>302</v>
      </c>
      <c r="K546" t="s">
        <v>38</v>
      </c>
      <c r="L546" t="s">
        <v>303</v>
      </c>
      <c r="M546">
        <v>454</v>
      </c>
      <c r="N546">
        <v>454</v>
      </c>
      <c r="O546" t="s">
        <v>40</v>
      </c>
      <c r="P546">
        <v>48</v>
      </c>
      <c r="Q546">
        <f>N546/P546</f>
      </c>
      <c r="R546" s="1">
        <v>78</v>
      </c>
      <c r="S546" s="1">
        <v>78</v>
      </c>
      <c r="T546">
        <f>IF(R546=S546,"相符","不相符")</f>
      </c>
      <c r="U546" t="s">
        <v>302</v>
      </c>
      <c r="V546">
        <f>P546*R546</f>
      </c>
      <c r="W546">
        <f>Q546*V546</f>
      </c>
      <c r="X546">
        <v>450</v>
      </c>
      <c r="Y546" t="s">
        <v>1332</v>
      </c>
      <c r="Z546" t="s">
        <v>213</v>
      </c>
      <c r="AA546"/>
      <c r="AB546"/>
      <c r="AC546" t="s">
        <v>49</v>
      </c>
      <c r="AD546"/>
    </row>
    <row r="547">
      <c r="A547" t="s">
        <v>30</v>
      </c>
      <c r="B547" t="s">
        <v>31</v>
      </c>
      <c r="C547" t="s">
        <v>1329</v>
      </c>
      <c r="D547" t="s">
        <v>1330</v>
      </c>
      <c r="E547" t="s">
        <v>1331</v>
      </c>
      <c r="F547" s="2">
        <v>46286</v>
      </c>
      <c r="G547">
        <v>3</v>
      </c>
      <c r="H547" t="s">
        <v>1333</v>
      </c>
      <c r="I547" t="s">
        <v>1334</v>
      </c>
      <c r="J547" t="s">
        <v>1335</v>
      </c>
      <c r="K547" t="s">
        <v>75</v>
      </c>
      <c r="L547" t="s">
        <v>1336</v>
      </c>
      <c r="M547">
        <v>192</v>
      </c>
      <c r="N547">
        <v>192</v>
      </c>
      <c r="O547" t="s">
        <v>177</v>
      </c>
      <c r="P547">
        <v>48</v>
      </c>
      <c r="Q547">
        <f>N547/P547</f>
      </c>
      <c r="R547" s="1">
        <v>70</v>
      </c>
      <c r="S547" s="1">
        <v>70</v>
      </c>
      <c r="T547">
        <f>IF(R547=S547,"相符","不相符")</f>
      </c>
      <c r="U547" t="s">
        <v>1335</v>
      </c>
      <c r="V547">
        <f>P547*R547</f>
      </c>
      <c r="W547">
        <f>Q547*V547</f>
      </c>
      <c r="X547">
        <v>540</v>
      </c>
      <c r="Y547" t="s">
        <v>1337</v>
      </c>
      <c r="Z547" t="s">
        <v>213</v>
      </c>
      <c r="AA547"/>
      <c r="AB547"/>
      <c r="AC547" t="s">
        <v>43</v>
      </c>
      <c r="AD547"/>
    </row>
    <row r="548">
      <c r="A548" t="s">
        <v>30</v>
      </c>
      <c r="B548" t="s">
        <v>31</v>
      </c>
      <c r="C548" t="s">
        <v>1329</v>
      </c>
      <c r="D548" t="s">
        <v>1330</v>
      </c>
      <c r="E548" t="s">
        <v>1331</v>
      </c>
      <c r="F548" s="2">
        <v>46286</v>
      </c>
      <c r="G548">
        <v>4</v>
      </c>
      <c r="H548" t="s">
        <v>125</v>
      </c>
      <c r="I548" t="s">
        <v>126</v>
      </c>
      <c r="J548" t="s">
        <v>127</v>
      </c>
      <c r="K548" t="s">
        <v>57</v>
      </c>
      <c r="L548" t="s">
        <v>128</v>
      </c>
      <c r="M548">
        <v>70</v>
      </c>
      <c r="N548">
        <v>70</v>
      </c>
      <c r="O548" t="s">
        <v>40</v>
      </c>
      <c r="P548">
        <v>6</v>
      </c>
      <c r="Q548">
        <f>N548/P548</f>
      </c>
      <c r="R548" s="1">
        <v>129</v>
      </c>
      <c r="S548" s="1">
        <v>129</v>
      </c>
      <c r="T548">
        <f>IF(R548=S548,"相符","不相符")</f>
      </c>
      <c r="U548" t="s">
        <v>127</v>
      </c>
      <c r="V548">
        <f>P548*R548</f>
      </c>
      <c r="W548">
        <f>Q548*V548</f>
      </c>
      <c r="X548">
        <v>540</v>
      </c>
      <c r="Y548" t="s">
        <v>652</v>
      </c>
      <c r="Z548" t="s">
        <v>213</v>
      </c>
      <c r="AA548"/>
      <c r="AB548"/>
      <c r="AC548" t="s">
        <v>43</v>
      </c>
      <c r="AD548"/>
    </row>
    <row r="549">
      <c r="A549" t="s">
        <v>30</v>
      </c>
      <c r="B549" t="s">
        <v>31</v>
      </c>
      <c r="C549" t="s">
        <v>1329</v>
      </c>
      <c r="D549" t="s">
        <v>1330</v>
      </c>
      <c r="E549" t="s">
        <v>1331</v>
      </c>
      <c r="F549" s="2">
        <v>46286</v>
      </c>
      <c r="G549">
        <v>5</v>
      </c>
      <c r="H549" t="s">
        <v>306</v>
      </c>
      <c r="I549" t="s">
        <v>307</v>
      </c>
      <c r="J549" t="s">
        <v>308</v>
      </c>
      <c r="K549" t="s">
        <v>57</v>
      </c>
      <c r="L549" t="s">
        <v>309</v>
      </c>
      <c r="M549">
        <v>128</v>
      </c>
      <c r="N549">
        <v>128</v>
      </c>
      <c r="O549" t="s">
        <v>40</v>
      </c>
      <c r="P549">
        <v>6</v>
      </c>
      <c r="Q549">
        <f>N549/P549</f>
      </c>
      <c r="R549" s="1">
        <v>129</v>
      </c>
      <c r="S549" s="1">
        <v>129</v>
      </c>
      <c r="T549">
        <f>IF(R549=S549,"相符","不相符")</f>
      </c>
      <c r="U549" t="s">
        <v>310</v>
      </c>
      <c r="V549">
        <f>P549*R549</f>
      </c>
      <c r="W549">
        <f>Q549*V549</f>
      </c>
      <c r="X549">
        <v>540</v>
      </c>
      <c r="Y549" t="s">
        <v>508</v>
      </c>
      <c r="Z549" t="s">
        <v>213</v>
      </c>
      <c r="AA549"/>
      <c r="AB549"/>
      <c r="AC549" t="s">
        <v>43</v>
      </c>
      <c r="AD549"/>
    </row>
    <row r="550">
      <c r="A550" t="s">
        <v>30</v>
      </c>
      <c r="B550" t="s">
        <v>31</v>
      </c>
      <c r="C550" t="s">
        <v>1329</v>
      </c>
      <c r="D550" t="s">
        <v>1330</v>
      </c>
      <c r="E550" t="s">
        <v>1331</v>
      </c>
      <c r="F550" s="2">
        <v>46286</v>
      </c>
      <c r="G550">
        <v>6</v>
      </c>
      <c r="H550" t="s">
        <v>317</v>
      </c>
      <c r="I550" t="s">
        <v>318</v>
      </c>
      <c r="J550" t="s">
        <v>319</v>
      </c>
      <c r="K550" t="s">
        <v>82</v>
      </c>
      <c r="L550" t="s">
        <v>320</v>
      </c>
      <c r="M550">
        <v>16</v>
      </c>
      <c r="N550">
        <v>16</v>
      </c>
      <c r="O550" t="s">
        <v>84</v>
      </c>
      <c r="P550">
        <v>1</v>
      </c>
      <c r="Q550">
        <f>N550/P550</f>
      </c>
      <c r="R550" s="1">
        <v>635</v>
      </c>
      <c r="S550" s="1">
        <v>635</v>
      </c>
      <c r="T550">
        <f>IF(R550=S550,"相符","不相符")</f>
      </c>
      <c r="U550" t="s">
        <v>321</v>
      </c>
      <c r="V550">
        <f>P550*R550</f>
      </c>
      <c r="W550">
        <f>Q550*V550</f>
      </c>
      <c r="X550">
        <v>730</v>
      </c>
      <c r="Y550" t="s">
        <v>41</v>
      </c>
      <c r="Z550" t="s">
        <v>213</v>
      </c>
      <c r="AA550"/>
      <c r="AB550"/>
      <c r="AC550" t="s">
        <v>49</v>
      </c>
      <c r="AD550"/>
    </row>
    <row r="551">
      <c r="A551" t="s">
        <v>30</v>
      </c>
      <c r="B551" t="s">
        <v>31</v>
      </c>
      <c r="C551" t="s">
        <v>1329</v>
      </c>
      <c r="D551" t="s">
        <v>1330</v>
      </c>
      <c r="E551" t="s">
        <v>1331</v>
      </c>
      <c r="F551" s="2">
        <v>46286</v>
      </c>
      <c r="G551">
        <v>7</v>
      </c>
      <c r="H551" t="s">
        <v>323</v>
      </c>
      <c r="I551" t="s">
        <v>324</v>
      </c>
      <c r="J551" t="s">
        <v>325</v>
      </c>
      <c r="K551" t="s">
        <v>82</v>
      </c>
      <c r="L551" t="s">
        <v>326</v>
      </c>
      <c r="M551">
        <v>4</v>
      </c>
      <c r="N551">
        <v>4</v>
      </c>
      <c r="O551" t="s">
        <v>84</v>
      </c>
      <c r="P551">
        <v>1</v>
      </c>
      <c r="Q551">
        <f>N551/P551</f>
      </c>
      <c r="R551" s="1">
        <v>635</v>
      </c>
      <c r="S551" s="1">
        <v>635</v>
      </c>
      <c r="T551">
        <f>IF(R551=S551,"相符","不相符")</f>
      </c>
      <c r="U551" t="s">
        <v>327</v>
      </c>
      <c r="V551">
        <f>P551*R551</f>
      </c>
      <c r="W551">
        <f>Q551*V551</f>
      </c>
      <c r="X551">
        <v>730</v>
      </c>
      <c r="Y551" t="s">
        <v>654</v>
      </c>
      <c r="Z551" t="s">
        <v>213</v>
      </c>
      <c r="AA551"/>
      <c r="AB551"/>
      <c r="AC551" t="s">
        <v>49</v>
      </c>
      <c r="AD551"/>
    </row>
    <row r="552">
      <c r="A552" t="s">
        <v>30</v>
      </c>
      <c r="B552" t="s">
        <v>31</v>
      </c>
      <c r="C552" t="s">
        <v>1329</v>
      </c>
      <c r="D552" t="s">
        <v>1330</v>
      </c>
      <c r="E552" t="s">
        <v>1331</v>
      </c>
      <c r="F552" s="2">
        <v>46286</v>
      </c>
      <c r="G552">
        <v>8</v>
      </c>
      <c r="H552" t="s">
        <v>328</v>
      </c>
      <c r="I552" t="s">
        <v>329</v>
      </c>
      <c r="J552" t="s">
        <v>330</v>
      </c>
      <c r="K552" t="s">
        <v>82</v>
      </c>
      <c r="L552" t="s">
        <v>331</v>
      </c>
      <c r="M552">
        <v>376</v>
      </c>
      <c r="N552">
        <v>376</v>
      </c>
      <c r="O552" t="s">
        <v>40</v>
      </c>
      <c r="P552">
        <v>8</v>
      </c>
      <c r="Q552">
        <f>N552/P552</f>
      </c>
      <c r="R552" s="1">
        <v>229</v>
      </c>
      <c r="S552" s="1">
        <v>229</v>
      </c>
      <c r="T552">
        <f>IF(R552=S552,"相符","不相符")</f>
      </c>
      <c r="U552" t="s">
        <v>330</v>
      </c>
      <c r="V552">
        <f>P552*R552</f>
      </c>
      <c r="W552">
        <f>Q552*V552</f>
      </c>
      <c r="X552">
        <v>730</v>
      </c>
      <c r="Y552" t="s">
        <v>654</v>
      </c>
      <c r="Z552" t="s">
        <v>213</v>
      </c>
      <c r="AA552"/>
      <c r="AB552"/>
      <c r="AC552" t="s">
        <v>49</v>
      </c>
      <c r="AD552"/>
    </row>
    <row r="553">
      <c r="A553" t="s">
        <v>30</v>
      </c>
      <c r="B553" t="s">
        <v>31</v>
      </c>
      <c r="C553" t="s">
        <v>1329</v>
      </c>
      <c r="D553" t="s">
        <v>1330</v>
      </c>
      <c r="E553" t="s">
        <v>1331</v>
      </c>
      <c r="F553" s="2">
        <v>46286</v>
      </c>
      <c r="G553">
        <v>9</v>
      </c>
      <c r="H553" t="s">
        <v>1338</v>
      </c>
      <c r="I553" t="s">
        <v>1339</v>
      </c>
      <c r="J553" t="s">
        <v>1340</v>
      </c>
      <c r="K553" t="s">
        <v>38</v>
      </c>
      <c r="L553" t="s">
        <v>1341</v>
      </c>
      <c r="M553">
        <v>31</v>
      </c>
      <c r="N553">
        <v>31</v>
      </c>
      <c r="O553" t="s">
        <v>40</v>
      </c>
      <c r="P553">
        <v>4</v>
      </c>
      <c r="Q553">
        <f>N553/P553</f>
      </c>
      <c r="R553" s="1">
        <v>555</v>
      </c>
      <c r="S553" s="1">
        <v>555</v>
      </c>
      <c r="T553">
        <f>IF(R553=S553,"相符","不相符")</f>
      </c>
      <c r="U553" t="s">
        <v>1340</v>
      </c>
      <c r="V553">
        <f>P553*R553</f>
      </c>
      <c r="W553">
        <f>Q553*V553</f>
      </c>
      <c r="X553">
        <v>730</v>
      </c>
      <c r="Y553" t="s">
        <v>654</v>
      </c>
      <c r="Z553" t="s">
        <v>213</v>
      </c>
      <c r="AA553"/>
      <c r="AB553"/>
      <c r="AC553" t="s">
        <v>43</v>
      </c>
      <c r="AD553"/>
    </row>
    <row r="554">
      <c r="A554" t="s">
        <v>30</v>
      </c>
      <c r="B554" t="s">
        <v>31</v>
      </c>
      <c r="C554" t="s">
        <v>1329</v>
      </c>
      <c r="D554" t="s">
        <v>1330</v>
      </c>
      <c r="E554" t="s">
        <v>1331</v>
      </c>
      <c r="F554" s="2">
        <v>46286</v>
      </c>
      <c r="G554">
        <v>10</v>
      </c>
      <c r="H554" t="s">
        <v>930</v>
      </c>
      <c r="I554" t="s">
        <v>931</v>
      </c>
      <c r="J554" t="s">
        <v>932</v>
      </c>
      <c r="K554" t="s">
        <v>63</v>
      </c>
      <c r="L554" t="s">
        <v>933</v>
      </c>
      <c r="M554">
        <v>48</v>
      </c>
      <c r="N554">
        <v>48</v>
      </c>
      <c r="O554" t="s">
        <v>40</v>
      </c>
      <c r="P554">
        <v>12</v>
      </c>
      <c r="Q554">
        <f>N554/P554</f>
      </c>
      <c r="R554" s="1">
        <v>317</v>
      </c>
      <c r="S554" s="1">
        <v>317</v>
      </c>
      <c r="T554">
        <f>IF(R554=S554,"相符","不相符")</f>
      </c>
      <c r="U554" t="s">
        <v>932</v>
      </c>
      <c r="V554">
        <f>P554*R554</f>
      </c>
      <c r="W554">
        <f>Q554*V554</f>
      </c>
      <c r="X554">
        <v>450</v>
      </c>
      <c r="Y554" t="s">
        <v>652</v>
      </c>
      <c r="Z554" t="s">
        <v>213</v>
      </c>
      <c r="AA554"/>
      <c r="AB554"/>
      <c r="AC554" t="s">
        <v>43</v>
      </c>
      <c r="AD554"/>
    </row>
    <row r="555">
      <c r="A555" t="s">
        <v>30</v>
      </c>
      <c r="B555" t="s">
        <v>31</v>
      </c>
      <c r="C555" t="s">
        <v>1329</v>
      </c>
      <c r="D555" t="s">
        <v>1330</v>
      </c>
      <c r="E555" t="s">
        <v>1331</v>
      </c>
      <c r="F555" s="2">
        <v>46286</v>
      </c>
      <c r="G555">
        <v>11</v>
      </c>
      <c r="H555" t="s">
        <v>163</v>
      </c>
      <c r="I555" t="s">
        <v>164</v>
      </c>
      <c r="J555" t="s">
        <v>165</v>
      </c>
      <c r="K555" t="s">
        <v>69</v>
      </c>
      <c r="L555" t="s">
        <v>166</v>
      </c>
      <c r="M555">
        <v>28</v>
      </c>
      <c r="N555">
        <v>28</v>
      </c>
      <c r="O555" t="s">
        <v>40</v>
      </c>
      <c r="P555">
        <v>4</v>
      </c>
      <c r="Q555">
        <f>N555/P555</f>
      </c>
      <c r="R555" s="1">
        <v>731</v>
      </c>
      <c r="S555" s="1">
        <v>731</v>
      </c>
      <c r="T555">
        <f>IF(R555=S555,"相符","不相符")</f>
      </c>
      <c r="U555" t="s">
        <v>167</v>
      </c>
      <c r="V555">
        <f>P555*R555</f>
      </c>
      <c r="W555">
        <f>Q555*V555</f>
      </c>
      <c r="X555">
        <v>540</v>
      </c>
      <c r="Y555" t="s">
        <v>1342</v>
      </c>
      <c r="Z555" t="s">
        <v>213</v>
      </c>
      <c r="AA555"/>
      <c r="AB555"/>
      <c r="AC555" t="s">
        <v>43</v>
      </c>
      <c r="AD555"/>
    </row>
    <row r="556">
      <c r="A556" t="s">
        <v>30</v>
      </c>
      <c r="B556" t="s">
        <v>31</v>
      </c>
      <c r="C556" t="s">
        <v>1329</v>
      </c>
      <c r="D556" t="s">
        <v>1330</v>
      </c>
      <c r="E556" t="s">
        <v>1331</v>
      </c>
      <c r="F556" s="2">
        <v>46286</v>
      </c>
      <c r="G556">
        <v>12</v>
      </c>
      <c r="H556" t="s">
        <v>1026</v>
      </c>
      <c r="I556" t="s">
        <v>1027</v>
      </c>
      <c r="J556" t="s">
        <v>1028</v>
      </c>
      <c r="K556" t="s">
        <v>57</v>
      </c>
      <c r="L556" t="s">
        <v>1029</v>
      </c>
      <c r="M556">
        <v>28</v>
      </c>
      <c r="N556">
        <v>28</v>
      </c>
      <c r="O556" t="s">
        <v>84</v>
      </c>
      <c r="P556">
        <v>1</v>
      </c>
      <c r="Q556">
        <f>N556/P556</f>
      </c>
      <c r="R556" s="1">
        <v>394</v>
      </c>
      <c r="S556" s="1">
        <v>394</v>
      </c>
      <c r="T556">
        <f>IF(R556=S556,"相符","不相符")</f>
      </c>
      <c r="U556" t="s">
        <v>1028</v>
      </c>
      <c r="V556">
        <f>P556*R556</f>
      </c>
      <c r="W556">
        <f>Q556*V556</f>
      </c>
      <c r="X556">
        <v>730</v>
      </c>
      <c r="Y556" t="s">
        <v>641</v>
      </c>
      <c r="Z556" t="s">
        <v>213</v>
      </c>
      <c r="AA556"/>
      <c r="AB556"/>
      <c r="AC556" t="s">
        <v>43</v>
      </c>
      <c r="AD556"/>
    </row>
    <row r="557">
      <c r="A557" t="s">
        <v>30</v>
      </c>
      <c r="B557" t="s">
        <v>31</v>
      </c>
      <c r="C557" t="s">
        <v>1329</v>
      </c>
      <c r="D557" t="s">
        <v>1330</v>
      </c>
      <c r="E557" t="s">
        <v>1331</v>
      </c>
      <c r="F557" s="2">
        <v>46286</v>
      </c>
      <c r="G557">
        <v>13</v>
      </c>
      <c r="H557" t="s">
        <v>184</v>
      </c>
      <c r="I557" t="s">
        <v>185</v>
      </c>
      <c r="J557" t="s">
        <v>186</v>
      </c>
      <c r="K557" t="s">
        <v>69</v>
      </c>
      <c r="L557" t="s">
        <v>187</v>
      </c>
      <c r="M557">
        <v>240</v>
      </c>
      <c r="N557">
        <v>240</v>
      </c>
      <c r="O557" t="s">
        <v>177</v>
      </c>
      <c r="P557">
        <v>40</v>
      </c>
      <c r="Q557">
        <f>N557/P557</f>
      </c>
      <c r="R557" s="1">
        <v>118.2</v>
      </c>
      <c r="S557" s="1">
        <v>118</v>
      </c>
      <c r="T557">
        <f>IF(R557=S557,"相符","不相符")</f>
      </c>
      <c r="U557" t="s">
        <v>186</v>
      </c>
      <c r="V557">
        <f>P557*R557</f>
      </c>
      <c r="W557">
        <f>Q557*V557</f>
      </c>
      <c r="X557">
        <v>540</v>
      </c>
      <c r="Y557" t="s">
        <v>673</v>
      </c>
      <c r="Z557" t="s">
        <v>213</v>
      </c>
      <c r="AA557"/>
      <c r="AB557"/>
      <c r="AC557" t="s">
        <v>43</v>
      </c>
      <c r="AD557"/>
    </row>
    <row r="558">
      <c r="A558" t="s">
        <v>30</v>
      </c>
      <c r="B558" t="s">
        <v>254</v>
      </c>
      <c r="C558" t="s">
        <v>1343</v>
      </c>
      <c r="D558" t="s">
        <v>262</v>
      </c>
      <c r="E558" t="s">
        <v>263</v>
      </c>
      <c r="F558" s="2">
        <v>46284</v>
      </c>
      <c r="G558">
        <v>1</v>
      </c>
      <c r="H558" t="s">
        <v>272</v>
      </c>
      <c r="I558" t="s">
        <v>273</v>
      </c>
      <c r="J558" t="s">
        <v>274</v>
      </c>
      <c r="K558" t="s">
        <v>258</v>
      </c>
      <c r="L558" t="s">
        <v>275</v>
      </c>
      <c r="M558">
        <v>7216</v>
      </c>
      <c r="N558">
        <v>7216</v>
      </c>
      <c r="O558" t="s">
        <v>197</v>
      </c>
      <c r="P558">
        <v>8</v>
      </c>
      <c r="Q558">
        <f>N558/P558</f>
      </c>
      <c r="R558" s="1">
        <v>65</v>
      </c>
      <c r="S558" s="1">
        <v>65</v>
      </c>
      <c r="T558">
        <f>IF(R558=S558,"相符","不相符")</f>
      </c>
      <c r="U558" t="s">
        <v>276</v>
      </c>
      <c r="V558">
        <f>P558*R558</f>
      </c>
      <c r="W558">
        <f>Q558*V558</f>
      </c>
      <c r="X558">
        <v>1825</v>
      </c>
      <c r="Y558" t="s">
        <v>565</v>
      </c>
      <c r="Z558" t="s">
        <v>42</v>
      </c>
      <c r="AA558"/>
      <c r="AB558"/>
      <c r="AC558" t="s">
        <v>243</v>
      </c>
      <c r="AD558"/>
    </row>
    <row r="559">
      <c r="A559" t="s">
        <v>30</v>
      </c>
      <c r="B559" t="s">
        <v>254</v>
      </c>
      <c r="C559" t="s">
        <v>1343</v>
      </c>
      <c r="D559" t="s">
        <v>262</v>
      </c>
      <c r="E559" t="s">
        <v>263</v>
      </c>
      <c r="F559" s="2">
        <v>46284</v>
      </c>
      <c r="G559">
        <v>2</v>
      </c>
      <c r="H559" t="s">
        <v>574</v>
      </c>
      <c r="I559" t="s">
        <v>575</v>
      </c>
      <c r="J559" t="s">
        <v>576</v>
      </c>
      <c r="K559" t="s">
        <v>491</v>
      </c>
      <c r="L559" t="s">
        <v>577</v>
      </c>
      <c r="M559">
        <v>228</v>
      </c>
      <c r="N559">
        <v>228</v>
      </c>
      <c r="O559" t="s">
        <v>84</v>
      </c>
      <c r="P559">
        <v>1</v>
      </c>
      <c r="Q559">
        <f>N559/P559</f>
      </c>
      <c r="R559" s="1">
        <v>868</v>
      </c>
      <c r="S559" s="1">
        <v>868</v>
      </c>
      <c r="T559">
        <f>IF(R559=S559,"相符","不相符")</f>
      </c>
      <c r="U559" t="s">
        <v>578</v>
      </c>
      <c r="V559">
        <f>P559*R559</f>
      </c>
      <c r="W559">
        <f>Q559*V559</f>
      </c>
      <c r="X559">
        <v>1825</v>
      </c>
      <c r="Y559" t="s">
        <v>565</v>
      </c>
      <c r="Z559" t="s">
        <v>42</v>
      </c>
      <c r="AA559"/>
      <c r="AB559"/>
      <c r="AC559" t="s">
        <v>243</v>
      </c>
      <c r="AD559"/>
    </row>
    <row r="560">
      <c r="A560" t="s">
        <v>30</v>
      </c>
      <c r="B560" t="s">
        <v>254</v>
      </c>
      <c r="C560" t="s">
        <v>1343</v>
      </c>
      <c r="D560" t="s">
        <v>262</v>
      </c>
      <c r="E560" t="s">
        <v>263</v>
      </c>
      <c r="F560" s="2">
        <v>46284</v>
      </c>
      <c r="G560">
        <v>3</v>
      </c>
      <c r="H560" t="s">
        <v>833</v>
      </c>
      <c r="I560" t="s">
        <v>834</v>
      </c>
      <c r="J560" t="s">
        <v>835</v>
      </c>
      <c r="K560" t="s">
        <v>258</v>
      </c>
      <c r="L560" t="s">
        <v>836</v>
      </c>
      <c r="M560">
        <v>220</v>
      </c>
      <c r="N560">
        <v>220</v>
      </c>
      <c r="O560" t="s">
        <v>84</v>
      </c>
      <c r="P560">
        <v>1</v>
      </c>
      <c r="Q560">
        <f>N560/P560</f>
      </c>
      <c r="R560" s="1">
        <v>642</v>
      </c>
      <c r="S560" s="1">
        <v>642</v>
      </c>
      <c r="T560">
        <f>IF(R560=S560,"相符","不相符")</f>
      </c>
      <c r="U560" t="s">
        <v>837</v>
      </c>
      <c r="V560">
        <f>P560*R560</f>
      </c>
      <c r="W560">
        <f>Q560*V560</f>
      </c>
      <c r="X560">
        <v>1825</v>
      </c>
      <c r="Y560" t="s">
        <v>565</v>
      </c>
      <c r="Z560" t="s">
        <v>42</v>
      </c>
      <c r="AA560"/>
      <c r="AB560"/>
      <c r="AC560" t="s">
        <v>243</v>
      </c>
      <c r="AD560"/>
    </row>
    <row r="561">
      <c r="A561" t="s">
        <v>30</v>
      </c>
      <c r="B561" t="s">
        <v>254</v>
      </c>
      <c r="C561" t="s">
        <v>1343</v>
      </c>
      <c r="D561" t="s">
        <v>262</v>
      </c>
      <c r="E561" t="s">
        <v>263</v>
      </c>
      <c r="F561" s="2">
        <v>46284</v>
      </c>
      <c r="G561">
        <v>4</v>
      </c>
      <c r="H561" t="s">
        <v>595</v>
      </c>
      <c r="I561" t="s">
        <v>596</v>
      </c>
      <c r="J561" t="s">
        <v>597</v>
      </c>
      <c r="K561" t="s">
        <v>491</v>
      </c>
      <c r="L561" t="s">
        <v>598</v>
      </c>
      <c r="M561">
        <v>200</v>
      </c>
      <c r="N561">
        <v>200</v>
      </c>
      <c r="O561" t="s">
        <v>84</v>
      </c>
      <c r="P561">
        <v>1</v>
      </c>
      <c r="Q561">
        <f>N561/P561</f>
      </c>
      <c r="R561" s="1">
        <v>742</v>
      </c>
      <c r="S561" s="1">
        <v>742</v>
      </c>
      <c r="T561">
        <f>IF(R561=S561,"相符","不相符")</f>
      </c>
      <c r="U561" t="s">
        <v>578</v>
      </c>
      <c r="V561">
        <f>P561*R561</f>
      </c>
      <c r="W561">
        <f>Q561*V561</f>
      </c>
      <c r="X561">
        <v>1825</v>
      </c>
      <c r="Y561" t="s">
        <v>565</v>
      </c>
      <c r="Z561" t="s">
        <v>42</v>
      </c>
      <c r="AA561"/>
      <c r="AB561"/>
      <c r="AC561" t="s">
        <v>243</v>
      </c>
      <c r="AD561"/>
    </row>
    <row r="562">
      <c r="A562" t="s">
        <v>30</v>
      </c>
      <c r="B562" t="s">
        <v>254</v>
      </c>
      <c r="C562" t="s">
        <v>1344</v>
      </c>
      <c r="D562" t="s">
        <v>1275</v>
      </c>
      <c r="E562" t="s">
        <v>1276</v>
      </c>
      <c r="F562" s="2">
        <v>46284</v>
      </c>
      <c r="G562">
        <v>1</v>
      </c>
      <c r="H562" t="s">
        <v>574</v>
      </c>
      <c r="I562" t="s">
        <v>575</v>
      </c>
      <c r="J562" t="s">
        <v>576</v>
      </c>
      <c r="K562" t="s">
        <v>491</v>
      </c>
      <c r="L562" t="s">
        <v>577</v>
      </c>
      <c r="M562">
        <v>6</v>
      </c>
      <c r="N562">
        <v>6</v>
      </c>
      <c r="O562" t="s">
        <v>84</v>
      </c>
      <c r="P562">
        <v>1</v>
      </c>
      <c r="Q562">
        <f>N562/P562</f>
      </c>
      <c r="R562" s="1">
        <v>868</v>
      </c>
      <c r="S562" s="1">
        <v>868</v>
      </c>
      <c r="T562">
        <f>IF(R562=S562,"相符","不相符")</f>
      </c>
      <c r="U562" t="s">
        <v>578</v>
      </c>
      <c r="V562">
        <f>P562*R562</f>
      </c>
      <c r="W562">
        <f>Q562*V562</f>
      </c>
      <c r="X562">
        <v>1825</v>
      </c>
      <c r="Y562" t="s">
        <v>565</v>
      </c>
      <c r="Z562" t="s">
        <v>42</v>
      </c>
      <c r="AA562"/>
      <c r="AB562"/>
      <c r="AC562" t="s">
        <v>243</v>
      </c>
      <c r="AD562"/>
    </row>
    <row r="563">
      <c r="A563" t="s">
        <v>30</v>
      </c>
      <c r="B563" t="s">
        <v>254</v>
      </c>
      <c r="C563" t="s">
        <v>1344</v>
      </c>
      <c r="D563" t="s">
        <v>1275</v>
      </c>
      <c r="E563" t="s">
        <v>1276</v>
      </c>
      <c r="F563" s="2">
        <v>46284</v>
      </c>
      <c r="G563">
        <v>2</v>
      </c>
      <c r="H563" t="s">
        <v>595</v>
      </c>
      <c r="I563" t="s">
        <v>596</v>
      </c>
      <c r="J563" t="s">
        <v>597</v>
      </c>
      <c r="K563" t="s">
        <v>491</v>
      </c>
      <c r="L563" t="s">
        <v>598</v>
      </c>
      <c r="M563">
        <v>4</v>
      </c>
      <c r="N563">
        <v>4</v>
      </c>
      <c r="O563" t="s">
        <v>84</v>
      </c>
      <c r="P563">
        <v>1</v>
      </c>
      <c r="Q563">
        <f>N563/P563</f>
      </c>
      <c r="R563" s="1">
        <v>742</v>
      </c>
      <c r="S563" s="1">
        <v>742</v>
      </c>
      <c r="T563">
        <f>IF(R563=S563,"相符","不相符")</f>
      </c>
      <c r="U563" t="s">
        <v>578</v>
      </c>
      <c r="V563">
        <f>P563*R563</f>
      </c>
      <c r="W563">
        <f>Q563*V563</f>
      </c>
      <c r="X563">
        <v>1825</v>
      </c>
      <c r="Y563" t="s">
        <v>565</v>
      </c>
      <c r="Z563" t="s">
        <v>42</v>
      </c>
      <c r="AA563"/>
      <c r="AB563"/>
      <c r="AC563" t="s">
        <v>243</v>
      </c>
      <c r="AD563"/>
    </row>
    <row r="564">
      <c r="A564" t="s">
        <v>30</v>
      </c>
      <c r="B564" t="s">
        <v>233</v>
      </c>
      <c r="C564" t="s">
        <v>1345</v>
      </c>
      <c r="D564" t="s">
        <v>33</v>
      </c>
      <c r="E564" t="s">
        <v>34</v>
      </c>
      <c r="F564" s="2">
        <v>46280</v>
      </c>
      <c r="G564">
        <v>1</v>
      </c>
      <c r="H564" t="s">
        <v>1310</v>
      </c>
      <c r="I564" t="s">
        <v>1311</v>
      </c>
      <c r="J564" t="s">
        <v>1312</v>
      </c>
      <c r="K564" t="s">
        <v>238</v>
      </c>
      <c r="L564" t="s">
        <v>1313</v>
      </c>
      <c r="M564">
        <v>174</v>
      </c>
      <c r="N564">
        <v>174</v>
      </c>
      <c r="O564" t="s">
        <v>177</v>
      </c>
      <c r="P564">
        <v>6</v>
      </c>
      <c r="Q564">
        <f>N564/P564</f>
      </c>
      <c r="R564" s="1">
        <v>129</v>
      </c>
      <c r="S564" s="1">
        <v>129</v>
      </c>
      <c r="T564">
        <f>IF(R564=S564,"相符","不相符")</f>
      </c>
      <c r="U564"/>
      <c r="V564">
        <f>P564*R564</f>
      </c>
      <c r="W564">
        <f>Q564*V564</f>
      </c>
      <c r="X564">
        <v>1095</v>
      </c>
      <c r="Y564" t="s">
        <v>1346</v>
      </c>
      <c r="Z564" t="s">
        <v>42</v>
      </c>
      <c r="AA564"/>
      <c r="AB564"/>
      <c r="AC564" t="s">
        <v>243</v>
      </c>
      <c r="AD564"/>
    </row>
    <row r="565">
      <c r="A565" t="s">
        <v>30</v>
      </c>
      <c r="B565" t="s">
        <v>233</v>
      </c>
      <c r="C565" t="s">
        <v>1345</v>
      </c>
      <c r="D565" t="s">
        <v>33</v>
      </c>
      <c r="E565" t="s">
        <v>34</v>
      </c>
      <c r="F565" s="2">
        <v>46280</v>
      </c>
      <c r="G565">
        <v>2</v>
      </c>
      <c r="H565" t="s">
        <v>249</v>
      </c>
      <c r="I565" t="s">
        <v>250</v>
      </c>
      <c r="J565" t="s">
        <v>251</v>
      </c>
      <c r="K565" t="s">
        <v>238</v>
      </c>
      <c r="L565" t="s">
        <v>252</v>
      </c>
      <c r="M565">
        <v>132</v>
      </c>
      <c r="N565">
        <v>132</v>
      </c>
      <c r="O565" t="s">
        <v>177</v>
      </c>
      <c r="P565">
        <v>6</v>
      </c>
      <c r="Q565">
        <f>N565/P565</f>
      </c>
      <c r="R565" s="1">
        <v>137</v>
      </c>
      <c r="S565" s="1">
        <v>137</v>
      </c>
      <c r="T565">
        <f>IF(R565=S565,"相符","不相符")</f>
      </c>
      <c r="U565"/>
      <c r="V565">
        <f>P565*R565</f>
      </c>
      <c r="W565">
        <f>Q565*V565</f>
      </c>
      <c r="X565">
        <v>1095</v>
      </c>
      <c r="Y565" t="s">
        <v>1346</v>
      </c>
      <c r="Z565" t="s">
        <v>42</v>
      </c>
      <c r="AA565"/>
      <c r="AB565"/>
      <c r="AC565" t="s">
        <v>243</v>
      </c>
      <c r="AD565"/>
    </row>
    <row r="566">
      <c r="A566" t="s">
        <v>30</v>
      </c>
      <c r="B566" t="s">
        <v>254</v>
      </c>
      <c r="C566" t="s">
        <v>1345</v>
      </c>
      <c r="D566" t="s">
        <v>33</v>
      </c>
      <c r="E566" t="s">
        <v>34</v>
      </c>
      <c r="F566" s="2">
        <v>46280</v>
      </c>
      <c r="G566">
        <v>3</v>
      </c>
      <c r="H566" t="s">
        <v>255</v>
      </c>
      <c r="I566" t="s">
        <v>256</v>
      </c>
      <c r="J566" t="s">
        <v>257</v>
      </c>
      <c r="K566" t="s">
        <v>258</v>
      </c>
      <c r="L566" t="s">
        <v>259</v>
      </c>
      <c r="M566">
        <v>54</v>
      </c>
      <c r="N566">
        <v>54</v>
      </c>
      <c r="O566" t="s">
        <v>197</v>
      </c>
      <c r="P566">
        <v>10</v>
      </c>
      <c r="Q566">
        <f>N566/P566</f>
      </c>
      <c r="R566" s="1">
        <v>44</v>
      </c>
      <c r="S566" s="1">
        <v>44</v>
      </c>
      <c r="T566">
        <f>IF(R566=S566,"相符","不相符")</f>
      </c>
      <c r="U566"/>
      <c r="V566">
        <f>P566*R566</f>
      </c>
      <c r="W566">
        <f>Q566*V566</f>
      </c>
      <c r="X566">
        <v>1095</v>
      </c>
      <c r="Y566" t="s">
        <v>1347</v>
      </c>
      <c r="Z566" t="s">
        <v>42</v>
      </c>
      <c r="AA566"/>
      <c r="AB566"/>
      <c r="AC566" t="s">
        <v>243</v>
      </c>
      <c r="AD566"/>
    </row>
    <row r="567">
      <c r="A567" t="s">
        <v>30</v>
      </c>
      <c r="B567" t="s">
        <v>254</v>
      </c>
      <c r="C567" t="s">
        <v>1348</v>
      </c>
      <c r="D567" t="s">
        <v>407</v>
      </c>
      <c r="E567" t="s">
        <v>408</v>
      </c>
      <c r="F567" s="2">
        <v>46281</v>
      </c>
      <c r="G567">
        <v>1</v>
      </c>
      <c r="H567" t="s">
        <v>574</v>
      </c>
      <c r="I567" t="s">
        <v>575</v>
      </c>
      <c r="J567" t="s">
        <v>576</v>
      </c>
      <c r="K567" t="s">
        <v>491</v>
      </c>
      <c r="L567" t="s">
        <v>577</v>
      </c>
      <c r="M567">
        <v>48</v>
      </c>
      <c r="N567">
        <v>48</v>
      </c>
      <c r="O567" t="s">
        <v>84</v>
      </c>
      <c r="P567">
        <v>1</v>
      </c>
      <c r="Q567">
        <f>N567/P567</f>
      </c>
      <c r="R567" s="1">
        <v>868</v>
      </c>
      <c r="S567" s="1">
        <v>868</v>
      </c>
      <c r="T567">
        <f>IF(R567=S567,"相符","不相符")</f>
      </c>
      <c r="U567" t="s">
        <v>578</v>
      </c>
      <c r="V567">
        <f>P567*R567</f>
      </c>
      <c r="W567">
        <f>Q567*V567</f>
      </c>
      <c r="X567">
        <v>1825</v>
      </c>
      <c r="Y567" t="s">
        <v>1272</v>
      </c>
      <c r="Z567" t="s">
        <v>42</v>
      </c>
      <c r="AA567"/>
      <c r="AB567"/>
      <c r="AC567" t="s">
        <v>243</v>
      </c>
      <c r="AD567"/>
    </row>
    <row r="568">
      <c r="A568" t="s">
        <v>30</v>
      </c>
      <c r="B568" t="s">
        <v>254</v>
      </c>
      <c r="C568" t="s">
        <v>1348</v>
      </c>
      <c r="D568" t="s">
        <v>407</v>
      </c>
      <c r="E568" t="s">
        <v>408</v>
      </c>
      <c r="F568" s="2">
        <v>46281</v>
      </c>
      <c r="G568">
        <v>2</v>
      </c>
      <c r="H568" t="s">
        <v>583</v>
      </c>
      <c r="I568" t="s">
        <v>584</v>
      </c>
      <c r="J568" t="s">
        <v>585</v>
      </c>
      <c r="K568" t="s">
        <v>491</v>
      </c>
      <c r="L568" t="s">
        <v>586</v>
      </c>
      <c r="M568">
        <v>252</v>
      </c>
      <c r="N568">
        <v>252</v>
      </c>
      <c r="O568" t="s">
        <v>84</v>
      </c>
      <c r="P568">
        <v>1</v>
      </c>
      <c r="Q568">
        <f>N568/P568</f>
      </c>
      <c r="R568" s="1">
        <v>569</v>
      </c>
      <c r="S568" s="1">
        <v>569</v>
      </c>
      <c r="T568">
        <f>IF(R568=S568,"相符","不相符")</f>
      </c>
      <c r="U568"/>
      <c r="V568">
        <f>P568*R568</f>
      </c>
      <c r="W568">
        <f>Q568*V568</f>
      </c>
      <c r="X568">
        <v>1825</v>
      </c>
      <c r="Y568" t="s">
        <v>1272</v>
      </c>
      <c r="Z568" t="s">
        <v>42</v>
      </c>
      <c r="AA568"/>
      <c r="AB568"/>
      <c r="AC568" t="s">
        <v>243</v>
      </c>
      <c r="AD568"/>
    </row>
    <row r="569">
      <c r="A569" t="s">
        <v>30</v>
      </c>
      <c r="B569" t="s">
        <v>254</v>
      </c>
      <c r="C569" t="s">
        <v>1348</v>
      </c>
      <c r="D569" t="s">
        <v>407</v>
      </c>
      <c r="E569" t="s">
        <v>408</v>
      </c>
      <c r="F569" s="2">
        <v>46281</v>
      </c>
      <c r="G569">
        <v>3</v>
      </c>
      <c r="H569" t="s">
        <v>854</v>
      </c>
      <c r="I569" t="s">
        <v>855</v>
      </c>
      <c r="J569" t="s">
        <v>856</v>
      </c>
      <c r="K569" t="s">
        <v>258</v>
      </c>
      <c r="L569" t="s">
        <v>857</v>
      </c>
      <c r="M569">
        <v>55</v>
      </c>
      <c r="N569">
        <v>55</v>
      </c>
      <c r="O569" t="s">
        <v>84</v>
      </c>
      <c r="P569">
        <v>1</v>
      </c>
      <c r="Q569">
        <f>N569/P569</f>
      </c>
      <c r="R569" s="1">
        <v>480</v>
      </c>
      <c r="S569" s="1">
        <v>480</v>
      </c>
      <c r="T569">
        <f>IF(R569=S569,"相符","不相符")</f>
      </c>
      <c r="U569"/>
      <c r="V569">
        <f>P569*R569</f>
      </c>
      <c r="W569">
        <f>Q569*V569</f>
      </c>
      <c r="X569">
        <v>1825</v>
      </c>
      <c r="Y569" t="s">
        <v>1272</v>
      </c>
      <c r="Z569" t="s">
        <v>42</v>
      </c>
      <c r="AA569"/>
      <c r="AB569"/>
      <c r="AC569" t="s">
        <v>243</v>
      </c>
      <c r="AD569"/>
    </row>
    <row r="570">
      <c r="A570" t="s">
        <v>30</v>
      </c>
      <c r="B570" t="s">
        <v>254</v>
      </c>
      <c r="C570" t="s">
        <v>1349</v>
      </c>
      <c r="D570" t="s">
        <v>478</v>
      </c>
      <c r="E570" t="s">
        <v>479</v>
      </c>
      <c r="F570" s="2">
        <v>46282</v>
      </c>
      <c r="G570">
        <v>1</v>
      </c>
      <c r="H570" t="s">
        <v>867</v>
      </c>
      <c r="I570" t="s">
        <v>868</v>
      </c>
      <c r="J570" t="s">
        <v>856</v>
      </c>
      <c r="K570" t="s">
        <v>258</v>
      </c>
      <c r="L570" t="s">
        <v>869</v>
      </c>
      <c r="M570">
        <v>88</v>
      </c>
      <c r="N570">
        <v>88</v>
      </c>
      <c r="O570" t="s">
        <v>197</v>
      </c>
      <c r="P570">
        <v>8</v>
      </c>
      <c r="Q570">
        <f>N570/P570</f>
      </c>
      <c r="R570" s="1">
        <v>60</v>
      </c>
      <c r="S570" s="1">
        <v>60</v>
      </c>
      <c r="T570">
        <f>IF(R570=S570,"相符","不相符")</f>
      </c>
      <c r="U570"/>
      <c r="V570">
        <f>P570*R570</f>
      </c>
      <c r="W570">
        <f>Q570*V570</f>
      </c>
      <c r="X570">
        <v>1825</v>
      </c>
      <c r="Y570" t="s">
        <v>823</v>
      </c>
      <c r="Z570" t="s">
        <v>42</v>
      </c>
      <c r="AA570"/>
      <c r="AB570"/>
      <c r="AC570" t="s">
        <v>243</v>
      </c>
      <c r="AD570"/>
    </row>
    <row r="571">
      <c r="A571" t="s">
        <v>30</v>
      </c>
      <c r="B571" t="s">
        <v>233</v>
      </c>
      <c r="C571" t="s">
        <v>1350</v>
      </c>
      <c r="D571" t="s">
        <v>478</v>
      </c>
      <c r="E571" t="s">
        <v>479</v>
      </c>
      <c r="F571" s="2">
        <v>46284</v>
      </c>
      <c r="G571">
        <v>1</v>
      </c>
      <c r="H571" t="s">
        <v>1129</v>
      </c>
      <c r="I571" t="s">
        <v>1130</v>
      </c>
      <c r="J571" t="s">
        <v>1131</v>
      </c>
      <c r="K571" t="s">
        <v>238</v>
      </c>
      <c r="L571" t="s">
        <v>1132</v>
      </c>
      <c r="M571">
        <v>108</v>
      </c>
      <c r="N571">
        <v>108</v>
      </c>
      <c r="O571" t="s">
        <v>240</v>
      </c>
      <c r="P571">
        <v>6</v>
      </c>
      <c r="Q571">
        <f>N571/P571</f>
      </c>
      <c r="R571" s="1">
        <v>176</v>
      </c>
      <c r="S571" s="1">
        <v>176</v>
      </c>
      <c r="T571">
        <f>IF(R571=S571,"相符","不相符")</f>
      </c>
      <c r="U571"/>
      <c r="V571">
        <f>P571*R571</f>
      </c>
      <c r="W571">
        <f>Q571*V571</f>
      </c>
      <c r="X571">
        <v>1095</v>
      </c>
      <c r="Y571" t="s">
        <v>1351</v>
      </c>
      <c r="Z571" t="s">
        <v>42</v>
      </c>
      <c r="AA571"/>
      <c r="AB571"/>
      <c r="AC571" t="s">
        <v>243</v>
      </c>
      <c r="AD571"/>
    </row>
    <row r="572">
      <c r="A572" t="s">
        <v>30</v>
      </c>
      <c r="B572" t="s">
        <v>254</v>
      </c>
      <c r="C572" t="s">
        <v>1352</v>
      </c>
      <c r="D572" t="s">
        <v>262</v>
      </c>
      <c r="E572" t="s">
        <v>263</v>
      </c>
      <c r="F572" s="2">
        <v>46280</v>
      </c>
      <c r="G572">
        <v>1</v>
      </c>
      <c r="H572" t="s">
        <v>1248</v>
      </c>
      <c r="I572" t="s">
        <v>1249</v>
      </c>
      <c r="J572" t="s">
        <v>1250</v>
      </c>
      <c r="K572" t="s">
        <v>491</v>
      </c>
      <c r="L572" t="s">
        <v>1251</v>
      </c>
      <c r="M572">
        <v>1008</v>
      </c>
      <c r="N572">
        <v>1008</v>
      </c>
      <c r="O572" t="s">
        <v>197</v>
      </c>
      <c r="P572">
        <v>8</v>
      </c>
      <c r="Q572">
        <f>N572/P572</f>
      </c>
      <c r="R572" s="1">
        <v>82</v>
      </c>
      <c r="S572" s="1">
        <v>82</v>
      </c>
      <c r="T572">
        <f>IF(R572=S572,"相符","不相符")</f>
      </c>
      <c r="U572" t="s">
        <v>1252</v>
      </c>
      <c r="V572">
        <f>P572*R572</f>
      </c>
      <c r="W572">
        <f>Q572*V572</f>
      </c>
      <c r="X572">
        <v>1825</v>
      </c>
      <c r="Y572" t="s">
        <v>1353</v>
      </c>
      <c r="Z572" t="s">
        <v>573</v>
      </c>
      <c r="AA572"/>
      <c r="AB572"/>
      <c r="AC572" t="s">
        <v>243</v>
      </c>
      <c r="AD572"/>
    </row>
    <row r="573">
      <c r="A573" t="s">
        <v>30</v>
      </c>
      <c r="B573" t="s">
        <v>254</v>
      </c>
      <c r="C573" t="s">
        <v>1352</v>
      </c>
      <c r="D573" t="s">
        <v>262</v>
      </c>
      <c r="E573" t="s">
        <v>263</v>
      </c>
      <c r="F573" s="2">
        <v>46280</v>
      </c>
      <c r="G573">
        <v>2</v>
      </c>
      <c r="H573" t="s">
        <v>579</v>
      </c>
      <c r="I573" t="s">
        <v>580</v>
      </c>
      <c r="J573" t="s">
        <v>581</v>
      </c>
      <c r="K573" t="s">
        <v>258</v>
      </c>
      <c r="L573" t="s">
        <v>582</v>
      </c>
      <c r="M573">
        <v>88</v>
      </c>
      <c r="N573">
        <v>88</v>
      </c>
      <c r="O573" t="s">
        <v>84</v>
      </c>
      <c r="P573">
        <v>1</v>
      </c>
      <c r="Q573">
        <f>N573/P573</f>
      </c>
      <c r="R573" s="1">
        <v>459</v>
      </c>
      <c r="S573" s="1">
        <v>459</v>
      </c>
      <c r="T573">
        <f>IF(R573=S573,"相符","不相符")</f>
      </c>
      <c r="U573"/>
      <c r="V573">
        <f>P573*R573</f>
      </c>
      <c r="W573">
        <f>Q573*V573</f>
      </c>
      <c r="X573">
        <v>1825</v>
      </c>
      <c r="Y573" t="s">
        <v>1353</v>
      </c>
      <c r="Z573" t="s">
        <v>573</v>
      </c>
      <c r="AA573"/>
      <c r="AB573"/>
      <c r="AC573" t="s">
        <v>243</v>
      </c>
      <c r="AD573"/>
    </row>
    <row r="574">
      <c r="A574" t="s">
        <v>30</v>
      </c>
      <c r="B574" t="s">
        <v>254</v>
      </c>
      <c r="C574" t="s">
        <v>1352</v>
      </c>
      <c r="D574" t="s">
        <v>262</v>
      </c>
      <c r="E574" t="s">
        <v>263</v>
      </c>
      <c r="F574" s="2">
        <v>46280</v>
      </c>
      <c r="G574">
        <v>3</v>
      </c>
      <c r="H574" t="s">
        <v>587</v>
      </c>
      <c r="I574" t="s">
        <v>588</v>
      </c>
      <c r="J574" t="s">
        <v>589</v>
      </c>
      <c r="K574" t="s">
        <v>491</v>
      </c>
      <c r="L574" t="s">
        <v>590</v>
      </c>
      <c r="M574">
        <v>10</v>
      </c>
      <c r="N574">
        <v>10</v>
      </c>
      <c r="O574" t="s">
        <v>84</v>
      </c>
      <c r="P574">
        <v>1</v>
      </c>
      <c r="Q574">
        <f>N574/P574</f>
      </c>
      <c r="R574" s="1">
        <v>992</v>
      </c>
      <c r="S574" s="1">
        <v>992</v>
      </c>
      <c r="T574">
        <f>IF(R574=S574,"相符","不相符")</f>
      </c>
      <c r="U574" t="s">
        <v>578</v>
      </c>
      <c r="V574">
        <f>P574*R574</f>
      </c>
      <c r="W574">
        <f>Q574*V574</f>
      </c>
      <c r="X574">
        <v>1825</v>
      </c>
      <c r="Y574" t="s">
        <v>1353</v>
      </c>
      <c r="Z574" t="s">
        <v>573</v>
      </c>
      <c r="AA574"/>
      <c r="AB574"/>
      <c r="AC574" t="s">
        <v>243</v>
      </c>
      <c r="AD574"/>
    </row>
    <row r="575">
      <c r="A575" t="s">
        <v>30</v>
      </c>
      <c r="B575" t="s">
        <v>233</v>
      </c>
      <c r="C575" t="s">
        <v>1352</v>
      </c>
      <c r="D575" t="s">
        <v>262</v>
      </c>
      <c r="E575" t="s">
        <v>263</v>
      </c>
      <c r="F575" s="2">
        <v>46280</v>
      </c>
      <c r="G575">
        <v>4</v>
      </c>
      <c r="H575" t="s">
        <v>874</v>
      </c>
      <c r="I575" t="s">
        <v>875</v>
      </c>
      <c r="J575" t="s">
        <v>251</v>
      </c>
      <c r="K575" t="s">
        <v>238</v>
      </c>
      <c r="L575" t="s">
        <v>876</v>
      </c>
      <c r="M575">
        <v>49</v>
      </c>
      <c r="N575">
        <v>49</v>
      </c>
      <c r="O575" t="s">
        <v>84</v>
      </c>
      <c r="P575">
        <v>1</v>
      </c>
      <c r="Q575">
        <f>N575/P575</f>
      </c>
      <c r="R575" s="1">
        <v>822</v>
      </c>
      <c r="S575" s="1">
        <v>822</v>
      </c>
      <c r="T575">
        <f>IF(R575=S575,"相符","不相符")</f>
      </c>
      <c r="U575"/>
      <c r="V575">
        <f>P575*R575</f>
      </c>
      <c r="W575">
        <f>Q575*V575</f>
      </c>
      <c r="X575">
        <v>1095</v>
      </c>
      <c r="Y575" t="s">
        <v>1346</v>
      </c>
      <c r="Z575" t="s">
        <v>573</v>
      </c>
      <c r="AA575"/>
      <c r="AB575"/>
      <c r="AC575" t="s">
        <v>243</v>
      </c>
      <c r="AD575"/>
    </row>
    <row r="576">
      <c r="A576" t="s">
        <v>30</v>
      </c>
      <c r="B576" t="s">
        <v>254</v>
      </c>
      <c r="C576" t="s">
        <v>1354</v>
      </c>
      <c r="D576" t="s">
        <v>604</v>
      </c>
      <c r="E576" t="s">
        <v>605</v>
      </c>
      <c r="F576" s="2">
        <v>46280</v>
      </c>
      <c r="G576">
        <v>1</v>
      </c>
      <c r="H576" t="s">
        <v>264</v>
      </c>
      <c r="I576" t="s">
        <v>265</v>
      </c>
      <c r="J576" t="s">
        <v>266</v>
      </c>
      <c r="K576" t="s">
        <v>258</v>
      </c>
      <c r="L576" t="s">
        <v>267</v>
      </c>
      <c r="M576">
        <v>5600</v>
      </c>
      <c r="N576">
        <v>5600</v>
      </c>
      <c r="O576" t="s">
        <v>197</v>
      </c>
      <c r="P576">
        <v>7</v>
      </c>
      <c r="Q576">
        <f>N576/P576</f>
      </c>
      <c r="R576" s="1">
        <v>92</v>
      </c>
      <c r="S576" s="1">
        <v>92</v>
      </c>
      <c r="T576">
        <f>IF(R576=S576,"相符","不相符")</f>
      </c>
      <c r="U576" t="s">
        <v>268</v>
      </c>
      <c r="V576">
        <f>P576*R576</f>
      </c>
      <c r="W576">
        <f>Q576*V576</f>
      </c>
      <c r="X576">
        <v>1825</v>
      </c>
      <c r="Y576" t="s">
        <v>1353</v>
      </c>
      <c r="Z576" t="s">
        <v>270</v>
      </c>
      <c r="AA576"/>
      <c r="AB576"/>
      <c r="AC576" t="s">
        <v>243</v>
      </c>
      <c r="AD576"/>
    </row>
    <row r="577">
      <c r="A577" t="s">
        <v>30</v>
      </c>
      <c r="B577" t="s">
        <v>31</v>
      </c>
      <c r="C577" t="s">
        <v>1355</v>
      </c>
      <c r="D577" t="s">
        <v>191</v>
      </c>
      <c r="E577" t="s">
        <v>192</v>
      </c>
      <c r="F577" s="2">
        <v>46286</v>
      </c>
      <c r="G577">
        <v>1</v>
      </c>
      <c r="H577" t="s">
        <v>510</v>
      </c>
      <c r="I577" t="s">
        <v>511</v>
      </c>
      <c r="J577" t="s">
        <v>512</v>
      </c>
      <c r="K577" t="s">
        <v>82</v>
      </c>
      <c r="L577" t="s">
        <v>513</v>
      </c>
      <c r="M577">
        <v>259</v>
      </c>
      <c r="N577">
        <v>259</v>
      </c>
      <c r="O577" t="s">
        <v>84</v>
      </c>
      <c r="P577">
        <v>1</v>
      </c>
      <c r="Q577">
        <f>N577/P577</f>
      </c>
      <c r="R577" s="1">
        <v>438</v>
      </c>
      <c r="S577" s="1">
        <v>438</v>
      </c>
      <c r="T577">
        <f>IF(R577=S577,"相符","不相符")</f>
      </c>
      <c r="U577" t="s">
        <v>512</v>
      </c>
      <c r="V577">
        <f>P577*R577</f>
      </c>
      <c r="W577">
        <f>Q577*V577</f>
      </c>
      <c r="X577">
        <v>730</v>
      </c>
      <c r="Y577" t="s">
        <v>654</v>
      </c>
      <c r="Z577" t="s">
        <v>1356</v>
      </c>
      <c r="AA577"/>
      <c r="AB577"/>
      <c r="AC577" t="s">
        <v>43</v>
      </c>
      <c r="AD577"/>
    </row>
    <row r="578">
      <c r="A578" t="s">
        <v>30</v>
      </c>
      <c r="B578" t="s">
        <v>31</v>
      </c>
      <c r="C578" t="s">
        <v>1357</v>
      </c>
      <c r="D578" t="s">
        <v>191</v>
      </c>
      <c r="E578" t="s">
        <v>192</v>
      </c>
      <c r="F578" s="2">
        <v>46286</v>
      </c>
      <c r="G578">
        <v>1</v>
      </c>
      <c r="H578" t="s">
        <v>87</v>
      </c>
      <c r="I578" t="s">
        <v>88</v>
      </c>
      <c r="J578" t="s">
        <v>89</v>
      </c>
      <c r="K578" t="s">
        <v>82</v>
      </c>
      <c r="L578" t="s">
        <v>90</v>
      </c>
      <c r="M578">
        <v>509</v>
      </c>
      <c r="N578">
        <v>509</v>
      </c>
      <c r="O578" t="s">
        <v>84</v>
      </c>
      <c r="P578">
        <v>1</v>
      </c>
      <c r="Q578">
        <f>N578/P578</f>
      </c>
      <c r="R578" s="1">
        <v>438</v>
      </c>
      <c r="S578" s="1">
        <v>438</v>
      </c>
      <c r="T578">
        <f>IF(R578=S578,"相符","不相符")</f>
      </c>
      <c r="U578" t="s">
        <v>91</v>
      </c>
      <c r="V578">
        <f>P578*R578</f>
      </c>
      <c r="W578">
        <f>Q578*V578</f>
      </c>
      <c r="X578">
        <v>730</v>
      </c>
      <c r="Y578" t="s">
        <v>654</v>
      </c>
      <c r="Z578" t="s">
        <v>1358</v>
      </c>
      <c r="AA578"/>
      <c r="AB578"/>
      <c r="AC578" t="s">
        <v>43</v>
      </c>
      <c r="AD578"/>
    </row>
    <row r="579">
      <c r="A579" t="s">
        <v>30</v>
      </c>
      <c r="B579" t="s">
        <v>31</v>
      </c>
      <c r="C579" t="s">
        <v>1359</v>
      </c>
      <c r="D579" t="s">
        <v>191</v>
      </c>
      <c r="E579" t="s">
        <v>192</v>
      </c>
      <c r="F579" s="2">
        <v>46286</v>
      </c>
      <c r="G579">
        <v>1</v>
      </c>
      <c r="H579" t="s">
        <v>50</v>
      </c>
      <c r="I579" t="s">
        <v>51</v>
      </c>
      <c r="J579" t="s">
        <v>52</v>
      </c>
      <c r="K579" t="s">
        <v>38</v>
      </c>
      <c r="L579" t="s">
        <v>53</v>
      </c>
      <c r="M579">
        <v>360</v>
      </c>
      <c r="N579">
        <v>360</v>
      </c>
      <c r="O579" t="s">
        <v>40</v>
      </c>
      <c r="P579">
        <v>4</v>
      </c>
      <c r="Q579">
        <f>N579/P579</f>
      </c>
      <c r="R579" s="1">
        <v>555</v>
      </c>
      <c r="S579" s="1">
        <v>555</v>
      </c>
      <c r="T579">
        <f>IF(R579=S579,"相符","不相符")</f>
      </c>
      <c r="U579" t="s">
        <v>52</v>
      </c>
      <c r="V579">
        <f>P579*R579</f>
      </c>
      <c r="W579">
        <f>Q579*V579</f>
      </c>
      <c r="X579">
        <v>730</v>
      </c>
      <c r="Y579" t="s">
        <v>654</v>
      </c>
      <c r="Z579" t="s">
        <v>485</v>
      </c>
      <c r="AA579"/>
      <c r="AB579"/>
      <c r="AC579" t="s">
        <v>43</v>
      </c>
      <c r="AD579"/>
    </row>
    <row r="580">
      <c r="A580" t="s">
        <v>30</v>
      </c>
      <c r="B580" t="s">
        <v>31</v>
      </c>
      <c r="C580" t="s">
        <v>1360</v>
      </c>
      <c r="D580" t="s">
        <v>191</v>
      </c>
      <c r="E580" t="s">
        <v>192</v>
      </c>
      <c r="F580" s="2">
        <v>46286</v>
      </c>
      <c r="G580">
        <v>1</v>
      </c>
      <c r="H580" t="s">
        <v>72</v>
      </c>
      <c r="I580" t="s">
        <v>73</v>
      </c>
      <c r="J580" t="s">
        <v>74</v>
      </c>
      <c r="K580" t="s">
        <v>75</v>
      </c>
      <c r="L580" t="s">
        <v>76</v>
      </c>
      <c r="M580">
        <v>2430</v>
      </c>
      <c r="N580">
        <v>2430</v>
      </c>
      <c r="O580" t="s">
        <v>40</v>
      </c>
      <c r="P580">
        <v>30</v>
      </c>
      <c r="Q580">
        <f>N580/P580</f>
      </c>
      <c r="R580" s="1">
        <v>107</v>
      </c>
      <c r="S580" s="1">
        <v>107</v>
      </c>
      <c r="T580">
        <f>IF(R580=S580,"相符","不相符")</f>
      </c>
      <c r="U580" t="s">
        <v>77</v>
      </c>
      <c r="V580">
        <f>P580*R580</f>
      </c>
      <c r="W580">
        <f>Q580*V580</f>
      </c>
      <c r="X580">
        <v>365</v>
      </c>
      <c r="Y580" t="s">
        <v>1361</v>
      </c>
      <c r="Z580" t="s">
        <v>485</v>
      </c>
      <c r="AA580"/>
      <c r="AB580"/>
      <c r="AC580" t="s">
        <v>43</v>
      </c>
      <c r="AD580"/>
    </row>
    <row r="581">
      <c r="A581" t="s">
        <v>30</v>
      </c>
      <c r="B581" t="s">
        <v>189</v>
      </c>
      <c r="C581" t="s">
        <v>1362</v>
      </c>
      <c r="D581" t="s">
        <v>464</v>
      </c>
      <c r="E581" t="s">
        <v>465</v>
      </c>
      <c r="F581" s="2">
        <v>46286</v>
      </c>
      <c r="G581">
        <v>1</v>
      </c>
      <c r="H581" t="s">
        <v>636</v>
      </c>
      <c r="I581" t="s">
        <v>637</v>
      </c>
      <c r="J581" t="s">
        <v>638</v>
      </c>
      <c r="K581" t="s">
        <v>639</v>
      </c>
      <c r="L581" t="s">
        <v>640</v>
      </c>
      <c r="M581">
        <v>5</v>
      </c>
      <c r="N581">
        <v>5</v>
      </c>
      <c r="O581" t="s">
        <v>84</v>
      </c>
      <c r="P581">
        <v>1</v>
      </c>
      <c r="Q581">
        <f>N581/P581</f>
      </c>
      <c r="R581" s="1">
        <v>1158</v>
      </c>
      <c r="S581" s="1">
        <v>1158</v>
      </c>
      <c r="T581">
        <f>IF(R581=S581,"相符","不相符")</f>
      </c>
      <c r="U581"/>
      <c r="V581">
        <f>P581*R581</f>
      </c>
      <c r="W581">
        <f>Q581*V581</f>
      </c>
      <c r="X581">
        <v>730</v>
      </c>
      <c r="Y581" t="s">
        <v>641</v>
      </c>
      <c r="Z581" t="s">
        <v>203</v>
      </c>
      <c r="AA581"/>
      <c r="AB581"/>
      <c r="AC581" t="s">
        <v>49</v>
      </c>
      <c r="AD581"/>
    </row>
    <row r="582">
      <c r="A582" t="s">
        <v>30</v>
      </c>
      <c r="B582" t="s">
        <v>233</v>
      </c>
      <c r="C582" t="s">
        <v>1363</v>
      </c>
      <c r="D582" t="s">
        <v>464</v>
      </c>
      <c r="E582" t="s">
        <v>465</v>
      </c>
      <c r="F582" s="2">
        <v>46286</v>
      </c>
      <c r="G582">
        <v>1</v>
      </c>
      <c r="H582" t="s">
        <v>877</v>
      </c>
      <c r="I582" t="s">
        <v>878</v>
      </c>
      <c r="J582" t="s">
        <v>879</v>
      </c>
      <c r="K582" t="s">
        <v>238</v>
      </c>
      <c r="L582" t="s">
        <v>880</v>
      </c>
      <c r="M582">
        <v>9</v>
      </c>
      <c r="N582">
        <v>9</v>
      </c>
      <c r="O582" t="s">
        <v>84</v>
      </c>
      <c r="P582">
        <v>1</v>
      </c>
      <c r="Q582">
        <f>N582/P582</f>
      </c>
      <c r="R582" s="1">
        <v>696</v>
      </c>
      <c r="S582" s="1">
        <v>1</v>
      </c>
      <c r="T582">
        <f>IF(R582=S582,"相符","不相符")</f>
      </c>
      <c r="U582" t="s">
        <v>879</v>
      </c>
      <c r="V582">
        <f>P582*R582</f>
      </c>
      <c r="W582">
        <f>Q582*V582</f>
      </c>
      <c r="X582">
        <v>1</v>
      </c>
      <c r="Y582" t="s">
        <v>616</v>
      </c>
      <c r="Z582" t="s">
        <v>203</v>
      </c>
      <c r="AA582"/>
      <c r="AB582"/>
      <c r="AC582" t="s">
        <v>243</v>
      </c>
      <c r="AD582"/>
    </row>
    <row r="583">
      <c r="A583" t="s">
        <v>30</v>
      </c>
      <c r="B583" t="s">
        <v>254</v>
      </c>
      <c r="C583" t="s">
        <v>1364</v>
      </c>
      <c r="D583" t="s">
        <v>567</v>
      </c>
      <c r="E583" t="s">
        <v>568</v>
      </c>
      <c r="F583" s="2">
        <v>46291</v>
      </c>
      <c r="G583">
        <v>1</v>
      </c>
      <c r="H583" t="s">
        <v>1365</v>
      </c>
      <c r="I583" t="s">
        <v>1366</v>
      </c>
      <c r="J583" t="s">
        <v>879</v>
      </c>
      <c r="K583" t="s">
        <v>491</v>
      </c>
      <c r="L583" t="s">
        <v>1367</v>
      </c>
      <c r="M583">
        <v>24</v>
      </c>
      <c r="N583">
        <v>24</v>
      </c>
      <c r="O583" t="s">
        <v>84</v>
      </c>
      <c r="P583">
        <v>1</v>
      </c>
      <c r="Q583">
        <f>N583/P583</f>
      </c>
      <c r="R583" s="1">
        <v>1100</v>
      </c>
      <c r="S583" s="1">
        <v>1100</v>
      </c>
      <c r="T583">
        <f>IF(R583=S583,"相符","不相符")</f>
      </c>
      <c r="U583" t="s">
        <v>879</v>
      </c>
      <c r="V583">
        <f>P583*R583</f>
      </c>
      <c r="W583">
        <f>Q583*V583</f>
      </c>
      <c r="X583">
        <v>1825</v>
      </c>
      <c r="Y583" t="s">
        <v>277</v>
      </c>
      <c r="Z583" t="s">
        <v>203</v>
      </c>
      <c r="AA583"/>
      <c r="AB583"/>
      <c r="AC583" t="s">
        <v>243</v>
      </c>
      <c r="AD583"/>
    </row>
    <row r="584">
      <c r="A584" t="s">
        <v>30</v>
      </c>
      <c r="B584" t="s">
        <v>233</v>
      </c>
      <c r="C584" t="s">
        <v>1368</v>
      </c>
      <c r="D584" t="s">
        <v>262</v>
      </c>
      <c r="E584" t="s">
        <v>263</v>
      </c>
      <c r="F584" s="2">
        <v>46288</v>
      </c>
      <c r="G584">
        <v>1</v>
      </c>
      <c r="H584" t="s">
        <v>877</v>
      </c>
      <c r="I584" t="s">
        <v>878</v>
      </c>
      <c r="J584" t="s">
        <v>879</v>
      </c>
      <c r="K584" t="s">
        <v>238</v>
      </c>
      <c r="L584" t="s">
        <v>880</v>
      </c>
      <c r="M584">
        <v>171</v>
      </c>
      <c r="N584">
        <v>171</v>
      </c>
      <c r="O584" t="s">
        <v>84</v>
      </c>
      <c r="P584">
        <v>1</v>
      </c>
      <c r="Q584">
        <f>N584/P584</f>
      </c>
      <c r="R584" s="1">
        <v>696</v>
      </c>
      <c r="S584" s="1">
        <v>1</v>
      </c>
      <c r="T584">
        <f>IF(R584=S584,"相符","不相符")</f>
      </c>
      <c r="U584" t="s">
        <v>879</v>
      </c>
      <c r="V584">
        <f>P584*R584</f>
      </c>
      <c r="W584">
        <f>Q584*V584</f>
      </c>
      <c r="X584">
        <v>1</v>
      </c>
      <c r="Y584" t="s">
        <v>1369</v>
      </c>
      <c r="Z584" t="s">
        <v>203</v>
      </c>
      <c r="AA584"/>
      <c r="AB584"/>
      <c r="AC584" t="s">
        <v>243</v>
      </c>
      <c r="AD584"/>
    </row>
    <row r="585">
      <c r="A585" t="s">
        <v>30</v>
      </c>
      <c r="B585" t="s">
        <v>233</v>
      </c>
      <c r="C585" t="s">
        <v>1370</v>
      </c>
      <c r="D585" t="s">
        <v>33</v>
      </c>
      <c r="E585" t="s">
        <v>34</v>
      </c>
      <c r="F585" s="2">
        <v>46287</v>
      </c>
      <c r="G585">
        <v>1</v>
      </c>
      <c r="H585" t="s">
        <v>870</v>
      </c>
      <c r="I585" t="s">
        <v>871</v>
      </c>
      <c r="J585" t="s">
        <v>872</v>
      </c>
      <c r="K585" t="s">
        <v>238</v>
      </c>
      <c r="L585" t="s">
        <v>873</v>
      </c>
      <c r="M585">
        <v>1128</v>
      </c>
      <c r="N585">
        <v>1128</v>
      </c>
      <c r="O585" t="s">
        <v>177</v>
      </c>
      <c r="P585">
        <v>6</v>
      </c>
      <c r="Q585">
        <f>N585/P585</f>
      </c>
      <c r="R585" s="1">
        <v>116</v>
      </c>
      <c r="S585" s="1">
        <v>116</v>
      </c>
      <c r="T585">
        <f>IF(R585=S585,"相符","不相符")</f>
      </c>
      <c r="U585"/>
      <c r="V585">
        <f>P585*R585</f>
      </c>
      <c r="W585">
        <f>Q585*V585</f>
      </c>
      <c r="X585">
        <v>1095</v>
      </c>
      <c r="Y585" t="s">
        <v>894</v>
      </c>
      <c r="Z585" t="s">
        <v>203</v>
      </c>
      <c r="AA585"/>
      <c r="AB585"/>
      <c r="AC585" t="s">
        <v>243</v>
      </c>
      <c r="AD585"/>
    </row>
    <row r="586">
      <c r="A586" t="s">
        <v>30</v>
      </c>
      <c r="B586" t="s">
        <v>233</v>
      </c>
      <c r="C586" t="s">
        <v>1370</v>
      </c>
      <c r="D586" t="s">
        <v>33</v>
      </c>
      <c r="E586" t="s">
        <v>34</v>
      </c>
      <c r="F586" s="2">
        <v>46287</v>
      </c>
      <c r="G586">
        <v>2</v>
      </c>
      <c r="H586" t="s">
        <v>904</v>
      </c>
      <c r="I586" t="s">
        <v>905</v>
      </c>
      <c r="J586" t="s">
        <v>906</v>
      </c>
      <c r="K586" t="s">
        <v>238</v>
      </c>
      <c r="L586" t="s">
        <v>907</v>
      </c>
      <c r="M586">
        <v>204</v>
      </c>
      <c r="N586">
        <v>204</v>
      </c>
      <c r="O586" t="s">
        <v>40</v>
      </c>
      <c r="P586">
        <v>12</v>
      </c>
      <c r="Q586">
        <f>N586/P586</f>
      </c>
      <c r="R586" s="1">
        <v>299</v>
      </c>
      <c r="S586" s="1">
        <v>299</v>
      </c>
      <c r="T586">
        <f>IF(R586=S586,"相符","不相符")</f>
      </c>
      <c r="U586"/>
      <c r="V586">
        <f>P586*R586</f>
      </c>
      <c r="W586">
        <f>Q586*V586</f>
      </c>
      <c r="X586">
        <v>730</v>
      </c>
      <c r="Y586" t="s">
        <v>908</v>
      </c>
      <c r="Z586" t="s">
        <v>203</v>
      </c>
      <c r="AA586"/>
      <c r="AB586"/>
      <c r="AC586" t="s">
        <v>243</v>
      </c>
      <c r="AD586"/>
    </row>
    <row r="587">
      <c r="A587" t="s">
        <v>30</v>
      </c>
      <c r="B587" t="s">
        <v>189</v>
      </c>
      <c r="C587" t="s">
        <v>1371</v>
      </c>
      <c r="D587" t="s">
        <v>262</v>
      </c>
      <c r="E587" t="s">
        <v>263</v>
      </c>
      <c r="F587" s="2">
        <v>46270</v>
      </c>
      <c r="G587">
        <v>1</v>
      </c>
      <c r="H587" t="s">
        <v>1065</v>
      </c>
      <c r="I587" t="s">
        <v>1066</v>
      </c>
      <c r="J587" t="s">
        <v>461</v>
      </c>
      <c r="K587" t="s">
        <v>419</v>
      </c>
      <c r="L587" t="s">
        <v>1067</v>
      </c>
      <c r="M587">
        <v>120</v>
      </c>
      <c r="N587">
        <v>120</v>
      </c>
      <c r="O587" t="s">
        <v>84</v>
      </c>
      <c r="P587">
        <v>1</v>
      </c>
      <c r="Q587">
        <f>N587/P587</f>
      </c>
      <c r="R587" s="1">
        <v>1175</v>
      </c>
      <c r="S587" s="1">
        <v>1175</v>
      </c>
      <c r="T587">
        <f>IF(R587=S587,"相符","不相符")</f>
      </c>
      <c r="U587"/>
      <c r="V587">
        <f>P587*R587</f>
      </c>
      <c r="W587">
        <f>Q587*V587</f>
      </c>
      <c r="X587">
        <v>1095</v>
      </c>
      <c r="Y587" t="s">
        <v>1372</v>
      </c>
      <c r="Z587" t="s">
        <v>1373</v>
      </c>
      <c r="AA587"/>
      <c r="AB587"/>
      <c r="AC587" t="s">
        <v>49</v>
      </c>
      <c r="AD587"/>
    </row>
    <row r="588">
      <c r="A588" t="s">
        <v>30</v>
      </c>
      <c r="B588" t="s">
        <v>189</v>
      </c>
      <c r="C588" t="s">
        <v>1371</v>
      </c>
      <c r="D588" t="s">
        <v>262</v>
      </c>
      <c r="E588" t="s">
        <v>263</v>
      </c>
      <c r="F588" s="2">
        <v>46270</v>
      </c>
      <c r="G588">
        <v>2</v>
      </c>
      <c r="H588" t="s">
        <v>1068</v>
      </c>
      <c r="I588" t="s">
        <v>1069</v>
      </c>
      <c r="J588" t="s">
        <v>666</v>
      </c>
      <c r="K588" t="s">
        <v>419</v>
      </c>
      <c r="L588" t="s">
        <v>1070</v>
      </c>
      <c r="M588">
        <v>52</v>
      </c>
      <c r="N588">
        <v>52</v>
      </c>
      <c r="O588" t="s">
        <v>84</v>
      </c>
      <c r="P588">
        <v>1</v>
      </c>
      <c r="Q588">
        <f>N588/P588</f>
      </c>
      <c r="R588" s="1">
        <v>1175</v>
      </c>
      <c r="S588" s="1">
        <v>1175</v>
      </c>
      <c r="T588">
        <f>IF(R588=S588,"相符","不相符")</f>
      </c>
      <c r="U588"/>
      <c r="V588">
        <f>P588*R588</f>
      </c>
      <c r="W588">
        <f>Q588*V588</f>
      </c>
      <c r="X588">
        <v>1095</v>
      </c>
      <c r="Y588" t="s">
        <v>1372</v>
      </c>
      <c r="Z588" t="s">
        <v>1373</v>
      </c>
      <c r="AA588"/>
      <c r="AB588"/>
      <c r="AC588" t="s">
        <v>49</v>
      </c>
      <c r="AD588"/>
    </row>
    <row r="589">
      <c r="A589" t="s">
        <v>30</v>
      </c>
      <c r="B589" t="s">
        <v>189</v>
      </c>
      <c r="C589" t="s">
        <v>1371</v>
      </c>
      <c r="D589" t="s">
        <v>262</v>
      </c>
      <c r="E589" t="s">
        <v>263</v>
      </c>
      <c r="F589" s="2">
        <v>46270</v>
      </c>
      <c r="G589">
        <v>3</v>
      </c>
      <c r="H589" t="s">
        <v>1074</v>
      </c>
      <c r="I589" t="s">
        <v>1075</v>
      </c>
      <c r="J589" t="s">
        <v>649</v>
      </c>
      <c r="K589" t="s">
        <v>419</v>
      </c>
      <c r="L589" t="s">
        <v>1076</v>
      </c>
      <c r="M589">
        <v>108</v>
      </c>
      <c r="N589">
        <v>108</v>
      </c>
      <c r="O589" t="s">
        <v>84</v>
      </c>
      <c r="P589">
        <v>1</v>
      </c>
      <c r="Q589">
        <f>N589/P589</f>
      </c>
      <c r="R589" s="1">
        <v>1175</v>
      </c>
      <c r="S589" s="1">
        <v>1175</v>
      </c>
      <c r="T589">
        <f>IF(R589=S589,"相符","不相符")</f>
      </c>
      <c r="U589"/>
      <c r="V589">
        <f>P589*R589</f>
      </c>
      <c r="W589">
        <f>Q589*V589</f>
      </c>
      <c r="X589">
        <v>1095</v>
      </c>
      <c r="Y589" t="s">
        <v>1372</v>
      </c>
      <c r="Z589" t="s">
        <v>1373</v>
      </c>
      <c r="AA589"/>
      <c r="AB589"/>
      <c r="AC589" t="s">
        <v>49</v>
      </c>
      <c r="AD589"/>
    </row>
    <row r="590">
      <c r="A590" t="s">
        <v>30</v>
      </c>
      <c r="B590" t="s">
        <v>189</v>
      </c>
      <c r="C590" t="s">
        <v>1371</v>
      </c>
      <c r="D590" t="s">
        <v>262</v>
      </c>
      <c r="E590" t="s">
        <v>263</v>
      </c>
      <c r="F590" s="2">
        <v>46270</v>
      </c>
      <c r="G590">
        <v>4</v>
      </c>
      <c r="H590" t="s">
        <v>1178</v>
      </c>
      <c r="I590" t="s">
        <v>1179</v>
      </c>
      <c r="J590" t="s">
        <v>1180</v>
      </c>
      <c r="K590" t="s">
        <v>419</v>
      </c>
      <c r="L590" t="s">
        <v>1181</v>
      </c>
      <c r="M590">
        <v>17</v>
      </c>
      <c r="N590">
        <v>17</v>
      </c>
      <c r="O590" t="s">
        <v>84</v>
      </c>
      <c r="P590">
        <v>1</v>
      </c>
      <c r="Q590">
        <f>N590/P590</f>
      </c>
      <c r="R590" s="1">
        <v>1175</v>
      </c>
      <c r="S590" s="1">
        <v>1175</v>
      </c>
      <c r="T590">
        <f>IF(R590=S590,"相符","不相符")</f>
      </c>
      <c r="U590"/>
      <c r="V590">
        <f>P590*R590</f>
      </c>
      <c r="W590">
        <f>Q590*V590</f>
      </c>
      <c r="X590">
        <v>1095</v>
      </c>
      <c r="Y590" t="s">
        <v>1372</v>
      </c>
      <c r="Z590" t="s">
        <v>1373</v>
      </c>
      <c r="AA590"/>
      <c r="AB590"/>
      <c r="AC590" t="s">
        <v>49</v>
      </c>
      <c r="AD590"/>
    </row>
    <row r="591">
      <c r="A591" t="s">
        <v>30</v>
      </c>
      <c r="B591" t="s">
        <v>189</v>
      </c>
      <c r="C591" t="s">
        <v>1374</v>
      </c>
      <c r="D591" t="s">
        <v>464</v>
      </c>
      <c r="E591" t="s">
        <v>465</v>
      </c>
      <c r="F591" s="2">
        <v>46270</v>
      </c>
      <c r="G591">
        <v>1</v>
      </c>
      <c r="H591" t="s">
        <v>1065</v>
      </c>
      <c r="I591" t="s">
        <v>1066</v>
      </c>
      <c r="J591" t="s">
        <v>461</v>
      </c>
      <c r="K591" t="s">
        <v>419</v>
      </c>
      <c r="L591" t="s">
        <v>1067</v>
      </c>
      <c r="M591">
        <v>120</v>
      </c>
      <c r="N591">
        <v>120</v>
      </c>
      <c r="O591" t="s">
        <v>84</v>
      </c>
      <c r="P591">
        <v>1</v>
      </c>
      <c r="Q591">
        <f>N591/P591</f>
      </c>
      <c r="R591" s="1">
        <v>1175</v>
      </c>
      <c r="S591" s="1">
        <v>1175</v>
      </c>
      <c r="T591">
        <f>IF(R591=S591,"相符","不相符")</f>
      </c>
      <c r="U591"/>
      <c r="V591">
        <f>P591*R591</f>
      </c>
      <c r="W591">
        <f>Q591*V591</f>
      </c>
      <c r="X591">
        <v>1095</v>
      </c>
      <c r="Y591" t="s">
        <v>1372</v>
      </c>
      <c r="Z591" t="s">
        <v>1063</v>
      </c>
      <c r="AA591"/>
      <c r="AB591"/>
      <c r="AC591" t="s">
        <v>49</v>
      </c>
      <c r="AD591"/>
    </row>
    <row r="592">
      <c r="A592" t="s">
        <v>30</v>
      </c>
      <c r="B592" t="s">
        <v>189</v>
      </c>
      <c r="C592" t="s">
        <v>1374</v>
      </c>
      <c r="D592" t="s">
        <v>464</v>
      </c>
      <c r="E592" t="s">
        <v>465</v>
      </c>
      <c r="F592" s="2">
        <v>46270</v>
      </c>
      <c r="G592">
        <v>2</v>
      </c>
      <c r="H592" t="s">
        <v>1074</v>
      </c>
      <c r="I592" t="s">
        <v>1075</v>
      </c>
      <c r="J592" t="s">
        <v>649</v>
      </c>
      <c r="K592" t="s">
        <v>419</v>
      </c>
      <c r="L592" t="s">
        <v>1076</v>
      </c>
      <c r="M592">
        <v>27</v>
      </c>
      <c r="N592">
        <v>27</v>
      </c>
      <c r="O592" t="s">
        <v>84</v>
      </c>
      <c r="P592">
        <v>1</v>
      </c>
      <c r="Q592">
        <f>N592/P592</f>
      </c>
      <c r="R592" s="1">
        <v>1175</v>
      </c>
      <c r="S592" s="1">
        <v>1175</v>
      </c>
      <c r="T592">
        <f>IF(R592=S592,"相符","不相符")</f>
      </c>
      <c r="U592"/>
      <c r="V592">
        <f>P592*R592</f>
      </c>
      <c r="W592">
        <f>Q592*V592</f>
      </c>
      <c r="X592">
        <v>1095</v>
      </c>
      <c r="Y592" t="s">
        <v>1372</v>
      </c>
      <c r="Z592" t="s">
        <v>1063</v>
      </c>
      <c r="AA592"/>
      <c r="AB592"/>
      <c r="AC592" t="s">
        <v>49</v>
      </c>
      <c r="AD592"/>
    </row>
    <row r="593">
      <c r="A593" t="s">
        <v>30</v>
      </c>
      <c r="B593" t="s">
        <v>189</v>
      </c>
      <c r="C593" t="s">
        <v>1375</v>
      </c>
      <c r="D593" t="s">
        <v>464</v>
      </c>
      <c r="E593" t="s">
        <v>465</v>
      </c>
      <c r="F593" s="2">
        <v>46270</v>
      </c>
      <c r="G593">
        <v>1</v>
      </c>
      <c r="H593" t="s">
        <v>617</v>
      </c>
      <c r="I593" t="s">
        <v>618</v>
      </c>
      <c r="J593" t="s">
        <v>619</v>
      </c>
      <c r="K593" t="s">
        <v>419</v>
      </c>
      <c r="L593" t="s">
        <v>620</v>
      </c>
      <c r="M593">
        <v>13</v>
      </c>
      <c r="N593">
        <v>13</v>
      </c>
      <c r="O593" t="s">
        <v>84</v>
      </c>
      <c r="P593">
        <v>1</v>
      </c>
      <c r="Q593">
        <f>N593/P593</f>
      </c>
      <c r="R593" s="1">
        <v>1231</v>
      </c>
      <c r="S593" s="1">
        <v>1231</v>
      </c>
      <c r="T593">
        <f>IF(R593=S593,"相符","不相符")</f>
      </c>
      <c r="U593"/>
      <c r="V593">
        <f>P593*R593</f>
      </c>
      <c r="W593">
        <f>Q593*V593</f>
      </c>
      <c r="X593">
        <v>1095</v>
      </c>
      <c r="Y593" t="s">
        <v>1372</v>
      </c>
      <c r="Z593" t="s">
        <v>1063</v>
      </c>
      <c r="AA593"/>
      <c r="AB593"/>
      <c r="AC593" t="s">
        <v>49</v>
      </c>
      <c r="AD593"/>
    </row>
    <row r="594">
      <c r="A594" t="s">
        <v>30</v>
      </c>
      <c r="B594" t="s">
        <v>189</v>
      </c>
      <c r="C594" t="s">
        <v>1375</v>
      </c>
      <c r="D594" t="s">
        <v>464</v>
      </c>
      <c r="E594" t="s">
        <v>465</v>
      </c>
      <c r="F594" s="2">
        <v>46270</v>
      </c>
      <c r="G594">
        <v>2</v>
      </c>
      <c r="H594" t="s">
        <v>1074</v>
      </c>
      <c r="I594" t="s">
        <v>1075</v>
      </c>
      <c r="J594" t="s">
        <v>649</v>
      </c>
      <c r="K594" t="s">
        <v>419</v>
      </c>
      <c r="L594" t="s">
        <v>1076</v>
      </c>
      <c r="M594">
        <v>6</v>
      </c>
      <c r="N594">
        <v>6</v>
      </c>
      <c r="O594" t="s">
        <v>84</v>
      </c>
      <c r="P594">
        <v>1</v>
      </c>
      <c r="Q594">
        <f>N594/P594</f>
      </c>
      <c r="R594" s="1">
        <v>1175</v>
      </c>
      <c r="S594" s="1">
        <v>1175</v>
      </c>
      <c r="T594">
        <f>IF(R594=S594,"相符","不相符")</f>
      </c>
      <c r="U594"/>
      <c r="V594">
        <f>P594*R594</f>
      </c>
      <c r="W594">
        <f>Q594*V594</f>
      </c>
      <c r="X594">
        <v>1095</v>
      </c>
      <c r="Y594" t="s">
        <v>1372</v>
      </c>
      <c r="Z594" t="s">
        <v>1063</v>
      </c>
      <c r="AA594"/>
      <c r="AB594"/>
      <c r="AC594" t="s">
        <v>49</v>
      </c>
      <c r="AD594"/>
    </row>
    <row r="595">
      <c r="A595" t="s">
        <v>30</v>
      </c>
      <c r="B595" t="s">
        <v>189</v>
      </c>
      <c r="C595" t="s">
        <v>1376</v>
      </c>
      <c r="D595" t="s">
        <v>464</v>
      </c>
      <c r="E595" t="s">
        <v>465</v>
      </c>
      <c r="F595" s="2">
        <v>46270</v>
      </c>
      <c r="G595">
        <v>1</v>
      </c>
      <c r="H595" t="s">
        <v>1065</v>
      </c>
      <c r="I595" t="s">
        <v>1066</v>
      </c>
      <c r="J595" t="s">
        <v>461</v>
      </c>
      <c r="K595" t="s">
        <v>419</v>
      </c>
      <c r="L595" t="s">
        <v>1067</v>
      </c>
      <c r="M595">
        <v>80</v>
      </c>
      <c r="N595">
        <v>80</v>
      </c>
      <c r="O595" t="s">
        <v>84</v>
      </c>
      <c r="P595">
        <v>1</v>
      </c>
      <c r="Q595">
        <f>N595/P595</f>
      </c>
      <c r="R595" s="1">
        <v>1175</v>
      </c>
      <c r="S595" s="1">
        <v>1175</v>
      </c>
      <c r="T595">
        <f>IF(R595=S595,"相符","不相符")</f>
      </c>
      <c r="U595"/>
      <c r="V595">
        <f>P595*R595</f>
      </c>
      <c r="W595">
        <f>Q595*V595</f>
      </c>
      <c r="X595">
        <v>1095</v>
      </c>
      <c r="Y595" t="s">
        <v>1372</v>
      </c>
      <c r="Z595" t="s">
        <v>1063</v>
      </c>
      <c r="AA595"/>
      <c r="AB595"/>
      <c r="AC595" t="s">
        <v>49</v>
      </c>
      <c r="AD595"/>
    </row>
    <row r="596">
      <c r="A596" t="s">
        <v>30</v>
      </c>
      <c r="B596" t="s">
        <v>189</v>
      </c>
      <c r="C596" t="s">
        <v>1377</v>
      </c>
      <c r="D596" t="s">
        <v>262</v>
      </c>
      <c r="E596" t="s">
        <v>263</v>
      </c>
      <c r="F596" s="2">
        <v>46270</v>
      </c>
      <c r="G596">
        <v>1</v>
      </c>
      <c r="H596" t="s">
        <v>1065</v>
      </c>
      <c r="I596" t="s">
        <v>1066</v>
      </c>
      <c r="J596" t="s">
        <v>461</v>
      </c>
      <c r="K596" t="s">
        <v>419</v>
      </c>
      <c r="L596" t="s">
        <v>1067</v>
      </c>
      <c r="M596">
        <v>80</v>
      </c>
      <c r="N596">
        <v>80</v>
      </c>
      <c r="O596" t="s">
        <v>84</v>
      </c>
      <c r="P596">
        <v>1</v>
      </c>
      <c r="Q596">
        <f>N596/P596</f>
      </c>
      <c r="R596" s="1">
        <v>1175</v>
      </c>
      <c r="S596" s="1">
        <v>1175</v>
      </c>
      <c r="T596">
        <f>IF(R596=S596,"相符","不相符")</f>
      </c>
      <c r="U596"/>
      <c r="V596">
        <f>P596*R596</f>
      </c>
      <c r="W596">
        <f>Q596*V596</f>
      </c>
      <c r="X596">
        <v>1095</v>
      </c>
      <c r="Y596" t="s">
        <v>1372</v>
      </c>
      <c r="Z596" t="s">
        <v>1063</v>
      </c>
      <c r="AA596"/>
      <c r="AB596"/>
      <c r="AC596" t="s">
        <v>49</v>
      </c>
      <c r="AD596"/>
    </row>
    <row r="597">
      <c r="A597" t="s">
        <v>30</v>
      </c>
      <c r="B597" t="s">
        <v>189</v>
      </c>
      <c r="C597" t="s">
        <v>1377</v>
      </c>
      <c r="D597" t="s">
        <v>262</v>
      </c>
      <c r="E597" t="s">
        <v>263</v>
      </c>
      <c r="F597" s="2">
        <v>46270</v>
      </c>
      <c r="G597">
        <v>2</v>
      </c>
      <c r="H597" t="s">
        <v>1068</v>
      </c>
      <c r="I597" t="s">
        <v>1069</v>
      </c>
      <c r="J597" t="s">
        <v>666</v>
      </c>
      <c r="K597" t="s">
        <v>419</v>
      </c>
      <c r="L597" t="s">
        <v>1070</v>
      </c>
      <c r="M597">
        <v>104</v>
      </c>
      <c r="N597">
        <v>104</v>
      </c>
      <c r="O597" t="s">
        <v>84</v>
      </c>
      <c r="P597">
        <v>1</v>
      </c>
      <c r="Q597">
        <f>N597/P597</f>
      </c>
      <c r="R597" s="1">
        <v>1175</v>
      </c>
      <c r="S597" s="1">
        <v>1175</v>
      </c>
      <c r="T597">
        <f>IF(R597=S597,"相符","不相符")</f>
      </c>
      <c r="U597"/>
      <c r="V597">
        <f>P597*R597</f>
      </c>
      <c r="W597">
        <f>Q597*V597</f>
      </c>
      <c r="X597">
        <v>1095</v>
      </c>
      <c r="Y597" t="s">
        <v>1372</v>
      </c>
      <c r="Z597" t="s">
        <v>1063</v>
      </c>
      <c r="AA597"/>
      <c r="AB597"/>
      <c r="AC597" t="s">
        <v>49</v>
      </c>
      <c r="AD597"/>
    </row>
    <row r="598">
      <c r="A598" t="s">
        <v>30</v>
      </c>
      <c r="B598" t="s">
        <v>189</v>
      </c>
      <c r="C598" t="s">
        <v>1377</v>
      </c>
      <c r="D598" t="s">
        <v>262</v>
      </c>
      <c r="E598" t="s">
        <v>263</v>
      </c>
      <c r="F598" s="2">
        <v>46270</v>
      </c>
      <c r="G598">
        <v>3</v>
      </c>
      <c r="H598" t="s">
        <v>1074</v>
      </c>
      <c r="I598" t="s">
        <v>1075</v>
      </c>
      <c r="J598" t="s">
        <v>649</v>
      </c>
      <c r="K598" t="s">
        <v>419</v>
      </c>
      <c r="L598" t="s">
        <v>1076</v>
      </c>
      <c r="M598">
        <v>189</v>
      </c>
      <c r="N598">
        <v>189</v>
      </c>
      <c r="O598" t="s">
        <v>84</v>
      </c>
      <c r="P598">
        <v>1</v>
      </c>
      <c r="Q598">
        <f>N598/P598</f>
      </c>
      <c r="R598" s="1">
        <v>1175</v>
      </c>
      <c r="S598" s="1">
        <v>1175</v>
      </c>
      <c r="T598">
        <f>IF(R598=S598,"相符","不相符")</f>
      </c>
      <c r="U598"/>
      <c r="V598">
        <f>P598*R598</f>
      </c>
      <c r="W598">
        <f>Q598*V598</f>
      </c>
      <c r="X598">
        <v>1095</v>
      </c>
      <c r="Y598" t="s">
        <v>1372</v>
      </c>
      <c r="Z598" t="s">
        <v>1063</v>
      </c>
      <c r="AA598"/>
      <c r="AB598"/>
      <c r="AC598" t="s">
        <v>49</v>
      </c>
      <c r="AD598"/>
    </row>
    <row r="599">
      <c r="A599" t="s">
        <v>30</v>
      </c>
      <c r="B599" t="s">
        <v>189</v>
      </c>
      <c r="C599" t="s">
        <v>1378</v>
      </c>
      <c r="D599" t="s">
        <v>464</v>
      </c>
      <c r="E599" t="s">
        <v>465</v>
      </c>
      <c r="F599" s="2">
        <v>46270</v>
      </c>
      <c r="G599">
        <v>1</v>
      </c>
      <c r="H599" t="s">
        <v>1065</v>
      </c>
      <c r="I599" t="s">
        <v>1066</v>
      </c>
      <c r="J599" t="s">
        <v>461</v>
      </c>
      <c r="K599" t="s">
        <v>419</v>
      </c>
      <c r="L599" t="s">
        <v>1067</v>
      </c>
      <c r="M599">
        <v>40</v>
      </c>
      <c r="N599">
        <v>40</v>
      </c>
      <c r="O599" t="s">
        <v>84</v>
      </c>
      <c r="P599">
        <v>1</v>
      </c>
      <c r="Q599">
        <f>N599/P599</f>
      </c>
      <c r="R599" s="1">
        <v>1175</v>
      </c>
      <c r="S599" s="1">
        <v>1175</v>
      </c>
      <c r="T599">
        <f>IF(R599=S599,"相符","不相符")</f>
      </c>
      <c r="U599"/>
      <c r="V599">
        <f>P599*R599</f>
      </c>
      <c r="W599">
        <f>Q599*V599</f>
      </c>
      <c r="X599">
        <v>1095</v>
      </c>
      <c r="Y599" t="s">
        <v>1372</v>
      </c>
      <c r="Z599" t="s">
        <v>1063</v>
      </c>
      <c r="AA599"/>
      <c r="AB599"/>
      <c r="AC599" t="s">
        <v>49</v>
      </c>
      <c r="AD599"/>
    </row>
    <row r="600">
      <c r="A600" t="s">
        <v>30</v>
      </c>
      <c r="B600" t="s">
        <v>189</v>
      </c>
      <c r="C600" t="s">
        <v>1379</v>
      </c>
      <c r="D600" t="s">
        <v>262</v>
      </c>
      <c r="E600" t="s">
        <v>263</v>
      </c>
      <c r="F600" s="2">
        <v>46270</v>
      </c>
      <c r="G600">
        <v>1</v>
      </c>
      <c r="H600" t="s">
        <v>1065</v>
      </c>
      <c r="I600" t="s">
        <v>1066</v>
      </c>
      <c r="J600" t="s">
        <v>461</v>
      </c>
      <c r="K600" t="s">
        <v>419</v>
      </c>
      <c r="L600" t="s">
        <v>1067</v>
      </c>
      <c r="M600">
        <v>240</v>
      </c>
      <c r="N600">
        <v>240</v>
      </c>
      <c r="O600" t="s">
        <v>84</v>
      </c>
      <c r="P600">
        <v>1</v>
      </c>
      <c r="Q600">
        <f>N600/P600</f>
      </c>
      <c r="R600" s="1">
        <v>1175</v>
      </c>
      <c r="S600" s="1">
        <v>1175</v>
      </c>
      <c r="T600">
        <f>IF(R600=S600,"相符","不相符")</f>
      </c>
      <c r="U600"/>
      <c r="V600">
        <f>P600*R600</f>
      </c>
      <c r="W600">
        <f>Q600*V600</f>
      </c>
      <c r="X600">
        <v>1095</v>
      </c>
      <c r="Y600" t="s">
        <v>1372</v>
      </c>
      <c r="Z600" t="s">
        <v>1063</v>
      </c>
      <c r="AA600"/>
      <c r="AB600"/>
      <c r="AC600" t="s">
        <v>49</v>
      </c>
      <c r="AD600"/>
    </row>
    <row r="601">
      <c r="A601" t="s">
        <v>30</v>
      </c>
      <c r="B601" t="s">
        <v>189</v>
      </c>
      <c r="C601" t="s">
        <v>1379</v>
      </c>
      <c r="D601" t="s">
        <v>262</v>
      </c>
      <c r="E601" t="s">
        <v>263</v>
      </c>
      <c r="F601" s="2">
        <v>46270</v>
      </c>
      <c r="G601">
        <v>2</v>
      </c>
      <c r="H601" t="s">
        <v>1068</v>
      </c>
      <c r="I601" t="s">
        <v>1069</v>
      </c>
      <c r="J601" t="s">
        <v>666</v>
      </c>
      <c r="K601" t="s">
        <v>419</v>
      </c>
      <c r="L601" t="s">
        <v>1070</v>
      </c>
      <c r="M601">
        <v>286</v>
      </c>
      <c r="N601">
        <v>286</v>
      </c>
      <c r="O601" t="s">
        <v>84</v>
      </c>
      <c r="P601">
        <v>1</v>
      </c>
      <c r="Q601">
        <f>N601/P601</f>
      </c>
      <c r="R601" s="1">
        <v>1175</v>
      </c>
      <c r="S601" s="1">
        <v>1175</v>
      </c>
      <c r="T601">
        <f>IF(R601=S601,"相符","不相符")</f>
      </c>
      <c r="U601"/>
      <c r="V601">
        <f>P601*R601</f>
      </c>
      <c r="W601">
        <f>Q601*V601</f>
      </c>
      <c r="X601">
        <v>1095</v>
      </c>
      <c r="Y601" t="s">
        <v>1372</v>
      </c>
      <c r="Z601" t="s">
        <v>1063</v>
      </c>
      <c r="AA601"/>
      <c r="AB601"/>
      <c r="AC601" t="s">
        <v>49</v>
      </c>
      <c r="AD601"/>
    </row>
    <row r="602">
      <c r="A602" t="s">
        <v>30</v>
      </c>
      <c r="B602" t="s">
        <v>189</v>
      </c>
      <c r="C602" t="s">
        <v>1379</v>
      </c>
      <c r="D602" t="s">
        <v>262</v>
      </c>
      <c r="E602" t="s">
        <v>263</v>
      </c>
      <c r="F602" s="2">
        <v>46270</v>
      </c>
      <c r="G602">
        <v>3</v>
      </c>
      <c r="H602" t="s">
        <v>1071</v>
      </c>
      <c r="I602" t="s">
        <v>1072</v>
      </c>
      <c r="J602" t="s">
        <v>418</v>
      </c>
      <c r="K602" t="s">
        <v>419</v>
      </c>
      <c r="L602" t="s">
        <v>1073</v>
      </c>
      <c r="M602">
        <v>88</v>
      </c>
      <c r="N602">
        <v>88</v>
      </c>
      <c r="O602" t="s">
        <v>84</v>
      </c>
      <c r="P602">
        <v>1</v>
      </c>
      <c r="Q602">
        <f>N602/P602</f>
      </c>
      <c r="R602" s="1">
        <v>1175</v>
      </c>
      <c r="S602" s="1">
        <v>1175</v>
      </c>
      <c r="T602">
        <f>IF(R602=S602,"相符","不相符")</f>
      </c>
      <c r="U602"/>
      <c r="V602">
        <f>P602*R602</f>
      </c>
      <c r="W602">
        <f>Q602*V602</f>
      </c>
      <c r="X602">
        <v>1095</v>
      </c>
      <c r="Y602" t="s">
        <v>1372</v>
      </c>
      <c r="Z602" t="s">
        <v>1063</v>
      </c>
      <c r="AA602"/>
      <c r="AB602"/>
      <c r="AC602" t="s">
        <v>49</v>
      </c>
      <c r="AD602"/>
    </row>
    <row r="603">
      <c r="A603" t="s">
        <v>30</v>
      </c>
      <c r="B603" t="s">
        <v>189</v>
      </c>
      <c r="C603" t="s">
        <v>1379</v>
      </c>
      <c r="D603" t="s">
        <v>262</v>
      </c>
      <c r="E603" t="s">
        <v>263</v>
      </c>
      <c r="F603" s="2">
        <v>46270</v>
      </c>
      <c r="G603">
        <v>4</v>
      </c>
      <c r="H603" t="s">
        <v>1074</v>
      </c>
      <c r="I603" t="s">
        <v>1075</v>
      </c>
      <c r="J603" t="s">
        <v>649</v>
      </c>
      <c r="K603" t="s">
        <v>419</v>
      </c>
      <c r="L603" t="s">
        <v>1076</v>
      </c>
      <c r="M603">
        <v>378</v>
      </c>
      <c r="N603">
        <v>378</v>
      </c>
      <c r="O603" t="s">
        <v>84</v>
      </c>
      <c r="P603">
        <v>1</v>
      </c>
      <c r="Q603">
        <f>N603/P603</f>
      </c>
      <c r="R603" s="1">
        <v>1175</v>
      </c>
      <c r="S603" s="1">
        <v>1175</v>
      </c>
      <c r="T603">
        <f>IF(R603=S603,"相符","不相符")</f>
      </c>
      <c r="U603"/>
      <c r="V603">
        <f>P603*R603</f>
      </c>
      <c r="W603">
        <f>Q603*V603</f>
      </c>
      <c r="X603">
        <v>1095</v>
      </c>
      <c r="Y603" t="s">
        <v>1372</v>
      </c>
      <c r="Z603" t="s">
        <v>1063</v>
      </c>
      <c r="AA603"/>
      <c r="AB603"/>
      <c r="AC603" t="s">
        <v>49</v>
      </c>
      <c r="AD603"/>
    </row>
    <row r="604">
      <c r="A604" t="s">
        <v>30</v>
      </c>
      <c r="B604" t="s">
        <v>189</v>
      </c>
      <c r="C604" t="s">
        <v>1379</v>
      </c>
      <c r="D604" t="s">
        <v>262</v>
      </c>
      <c r="E604" t="s">
        <v>263</v>
      </c>
      <c r="F604" s="2">
        <v>46270</v>
      </c>
      <c r="G604">
        <v>5</v>
      </c>
      <c r="H604" t="s">
        <v>1178</v>
      </c>
      <c r="I604" t="s">
        <v>1179</v>
      </c>
      <c r="J604" t="s">
        <v>1180</v>
      </c>
      <c r="K604" t="s">
        <v>419</v>
      </c>
      <c r="L604" t="s">
        <v>1181</v>
      </c>
      <c r="M604">
        <v>26</v>
      </c>
      <c r="N604">
        <v>26</v>
      </c>
      <c r="O604" t="s">
        <v>84</v>
      </c>
      <c r="P604">
        <v>1</v>
      </c>
      <c r="Q604">
        <f>N604/P604</f>
      </c>
      <c r="R604" s="1">
        <v>1175</v>
      </c>
      <c r="S604" s="1">
        <v>1175</v>
      </c>
      <c r="T604">
        <f>IF(R604=S604,"相符","不相符")</f>
      </c>
      <c r="U604"/>
      <c r="V604">
        <f>P604*R604</f>
      </c>
      <c r="W604">
        <f>Q604*V604</f>
      </c>
      <c r="X604">
        <v>1095</v>
      </c>
      <c r="Y604" t="s">
        <v>1372</v>
      </c>
      <c r="Z604" t="s">
        <v>1063</v>
      </c>
      <c r="AA604"/>
      <c r="AB604"/>
      <c r="AC604" t="s">
        <v>49</v>
      </c>
      <c r="AD604"/>
    </row>
    <row r="605">
      <c r="A605" t="s">
        <v>30</v>
      </c>
      <c r="B605" t="s">
        <v>189</v>
      </c>
      <c r="C605" t="s">
        <v>1380</v>
      </c>
      <c r="D605" t="s">
        <v>464</v>
      </c>
      <c r="E605" t="s">
        <v>465</v>
      </c>
      <c r="F605" s="2">
        <v>46270</v>
      </c>
      <c r="G605">
        <v>1</v>
      </c>
      <c r="H605" t="s">
        <v>1065</v>
      </c>
      <c r="I605" t="s">
        <v>1066</v>
      </c>
      <c r="J605" t="s">
        <v>461</v>
      </c>
      <c r="K605" t="s">
        <v>419</v>
      </c>
      <c r="L605" t="s">
        <v>1067</v>
      </c>
      <c r="M605">
        <v>40</v>
      </c>
      <c r="N605">
        <v>40</v>
      </c>
      <c r="O605" t="s">
        <v>84</v>
      </c>
      <c r="P605">
        <v>1</v>
      </c>
      <c r="Q605">
        <f>N605/P605</f>
      </c>
      <c r="R605" s="1">
        <v>1175</v>
      </c>
      <c r="S605" s="1">
        <v>1175</v>
      </c>
      <c r="T605">
        <f>IF(R605=S605,"相符","不相符")</f>
      </c>
      <c r="U605"/>
      <c r="V605">
        <f>P605*R605</f>
      </c>
      <c r="W605">
        <f>Q605*V605</f>
      </c>
      <c r="X605">
        <v>1095</v>
      </c>
      <c r="Y605" t="s">
        <v>1372</v>
      </c>
      <c r="Z605" t="s">
        <v>1063</v>
      </c>
      <c r="AA605"/>
      <c r="AB605"/>
      <c r="AC605" t="s">
        <v>49</v>
      </c>
      <c r="AD605"/>
    </row>
    <row r="606">
      <c r="A606" t="s">
        <v>30</v>
      </c>
      <c r="B606" t="s">
        <v>189</v>
      </c>
      <c r="C606" t="s">
        <v>1380</v>
      </c>
      <c r="D606" t="s">
        <v>464</v>
      </c>
      <c r="E606" t="s">
        <v>465</v>
      </c>
      <c r="F606" s="2">
        <v>46270</v>
      </c>
      <c r="G606">
        <v>2</v>
      </c>
      <c r="H606" t="s">
        <v>1074</v>
      </c>
      <c r="I606" t="s">
        <v>1075</v>
      </c>
      <c r="J606" t="s">
        <v>649</v>
      </c>
      <c r="K606" t="s">
        <v>419</v>
      </c>
      <c r="L606" t="s">
        <v>1076</v>
      </c>
      <c r="M606">
        <v>189</v>
      </c>
      <c r="N606">
        <v>189</v>
      </c>
      <c r="O606" t="s">
        <v>84</v>
      </c>
      <c r="P606">
        <v>1</v>
      </c>
      <c r="Q606">
        <f>N606/P606</f>
      </c>
      <c r="R606" s="1">
        <v>1175</v>
      </c>
      <c r="S606" s="1">
        <v>1175</v>
      </c>
      <c r="T606">
        <f>IF(R606=S606,"相符","不相符")</f>
      </c>
      <c r="U606"/>
      <c r="V606">
        <f>P606*R606</f>
      </c>
      <c r="W606">
        <f>Q606*V606</f>
      </c>
      <c r="X606">
        <v>1095</v>
      </c>
      <c r="Y606" t="s">
        <v>1372</v>
      </c>
      <c r="Z606" t="s">
        <v>1063</v>
      </c>
      <c r="AA606"/>
      <c r="AB606"/>
      <c r="AC606" t="s">
        <v>49</v>
      </c>
      <c r="AD606"/>
    </row>
    <row r="607">
      <c r="A607" t="s">
        <v>30</v>
      </c>
      <c r="B607" t="s">
        <v>189</v>
      </c>
      <c r="C607" t="s">
        <v>1381</v>
      </c>
      <c r="D607" t="s">
        <v>262</v>
      </c>
      <c r="E607" t="s">
        <v>263</v>
      </c>
      <c r="F607" s="2">
        <v>46270</v>
      </c>
      <c r="G607">
        <v>1</v>
      </c>
      <c r="H607" t="s">
        <v>617</v>
      </c>
      <c r="I607" t="s">
        <v>618</v>
      </c>
      <c r="J607" t="s">
        <v>619</v>
      </c>
      <c r="K607" t="s">
        <v>419</v>
      </c>
      <c r="L607" t="s">
        <v>620</v>
      </c>
      <c r="M607">
        <v>351</v>
      </c>
      <c r="N607">
        <v>295</v>
      </c>
      <c r="O607" t="s">
        <v>84</v>
      </c>
      <c r="P607">
        <v>1</v>
      </c>
      <c r="Q607">
        <f>N607/P607</f>
      </c>
      <c r="R607" s="1">
        <v>1231</v>
      </c>
      <c r="S607" s="1">
        <v>1231</v>
      </c>
      <c r="T607">
        <f>IF(R607=S607,"相符","不相符")</f>
      </c>
      <c r="U607"/>
      <c r="V607">
        <f>P607*R607</f>
      </c>
      <c r="W607">
        <f>Q607*V607</f>
      </c>
      <c r="X607">
        <v>1095</v>
      </c>
      <c r="Y607" t="s">
        <v>1372</v>
      </c>
      <c r="Z607" t="s">
        <v>1063</v>
      </c>
      <c r="AA607"/>
      <c r="AB607"/>
      <c r="AC607" t="s">
        <v>49</v>
      </c>
      <c r="AD607"/>
    </row>
    <row r="608">
      <c r="A608" t="s">
        <v>30</v>
      </c>
      <c r="B608" t="s">
        <v>189</v>
      </c>
      <c r="C608" t="s">
        <v>1381</v>
      </c>
      <c r="D608" t="s">
        <v>262</v>
      </c>
      <c r="E608" t="s">
        <v>263</v>
      </c>
      <c r="F608" s="2">
        <v>46270</v>
      </c>
      <c r="G608">
        <v>2</v>
      </c>
      <c r="H608" t="s">
        <v>1065</v>
      </c>
      <c r="I608" t="s">
        <v>1066</v>
      </c>
      <c r="J608" t="s">
        <v>461</v>
      </c>
      <c r="K608" t="s">
        <v>419</v>
      </c>
      <c r="L608" t="s">
        <v>1067</v>
      </c>
      <c r="M608">
        <v>120</v>
      </c>
      <c r="N608">
        <v>120</v>
      </c>
      <c r="O608" t="s">
        <v>84</v>
      </c>
      <c r="P608">
        <v>1</v>
      </c>
      <c r="Q608">
        <f>N608/P608</f>
      </c>
      <c r="R608" s="1">
        <v>1175</v>
      </c>
      <c r="S608" s="1">
        <v>1175</v>
      </c>
      <c r="T608">
        <f>IF(R608=S608,"相符","不相符")</f>
      </c>
      <c r="U608"/>
      <c r="V608">
        <f>P608*R608</f>
      </c>
      <c r="W608">
        <f>Q608*V608</f>
      </c>
      <c r="X608">
        <v>1095</v>
      </c>
      <c r="Y608" t="s">
        <v>1372</v>
      </c>
      <c r="Z608" t="s">
        <v>1063</v>
      </c>
      <c r="AA608"/>
      <c r="AB608"/>
      <c r="AC608" t="s">
        <v>49</v>
      </c>
      <c r="AD608"/>
    </row>
    <row r="609">
      <c r="A609" t="s">
        <v>30</v>
      </c>
      <c r="B609" t="s">
        <v>189</v>
      </c>
      <c r="C609" t="s">
        <v>1381</v>
      </c>
      <c r="D609" t="s">
        <v>262</v>
      </c>
      <c r="E609" t="s">
        <v>263</v>
      </c>
      <c r="F609" s="2">
        <v>46270</v>
      </c>
      <c r="G609">
        <v>3</v>
      </c>
      <c r="H609" t="s">
        <v>1068</v>
      </c>
      <c r="I609" t="s">
        <v>1069</v>
      </c>
      <c r="J609" t="s">
        <v>666</v>
      </c>
      <c r="K609" t="s">
        <v>419</v>
      </c>
      <c r="L609" t="s">
        <v>1070</v>
      </c>
      <c r="M609">
        <v>104</v>
      </c>
      <c r="N609">
        <v>104</v>
      </c>
      <c r="O609" t="s">
        <v>84</v>
      </c>
      <c r="P609">
        <v>1</v>
      </c>
      <c r="Q609">
        <f>N609/P609</f>
      </c>
      <c r="R609" s="1">
        <v>1175</v>
      </c>
      <c r="S609" s="1">
        <v>1175</v>
      </c>
      <c r="T609">
        <f>IF(R609=S609,"相符","不相符")</f>
      </c>
      <c r="U609"/>
      <c r="V609">
        <f>P609*R609</f>
      </c>
      <c r="W609">
        <f>Q609*V609</f>
      </c>
      <c r="X609">
        <v>1095</v>
      </c>
      <c r="Y609" t="s">
        <v>1372</v>
      </c>
      <c r="Z609" t="s">
        <v>1063</v>
      </c>
      <c r="AA609"/>
      <c r="AB609"/>
      <c r="AC609" t="s">
        <v>49</v>
      </c>
      <c r="AD609"/>
    </row>
    <row r="610">
      <c r="A610" t="s">
        <v>30</v>
      </c>
      <c r="B610" t="s">
        <v>189</v>
      </c>
      <c r="C610" t="s">
        <v>1381</v>
      </c>
      <c r="D610" t="s">
        <v>262</v>
      </c>
      <c r="E610" t="s">
        <v>263</v>
      </c>
      <c r="F610" s="2">
        <v>46270</v>
      </c>
      <c r="G610">
        <v>4</v>
      </c>
      <c r="H610" t="s">
        <v>1071</v>
      </c>
      <c r="I610" t="s">
        <v>1072</v>
      </c>
      <c r="J610" t="s">
        <v>418</v>
      </c>
      <c r="K610" t="s">
        <v>419</v>
      </c>
      <c r="L610" t="s">
        <v>1073</v>
      </c>
      <c r="M610">
        <v>424</v>
      </c>
      <c r="N610">
        <v>424</v>
      </c>
      <c r="O610" t="s">
        <v>84</v>
      </c>
      <c r="P610">
        <v>1</v>
      </c>
      <c r="Q610">
        <f>N610/P610</f>
      </c>
      <c r="R610" s="1">
        <v>1175</v>
      </c>
      <c r="S610" s="1">
        <v>1175</v>
      </c>
      <c r="T610">
        <f>IF(R610=S610,"相符","不相符")</f>
      </c>
      <c r="U610"/>
      <c r="V610">
        <f>P610*R610</f>
      </c>
      <c r="W610">
        <f>Q610*V610</f>
      </c>
      <c r="X610">
        <v>1095</v>
      </c>
      <c r="Y610" t="s">
        <v>1372</v>
      </c>
      <c r="Z610" t="s">
        <v>1063</v>
      </c>
      <c r="AA610"/>
      <c r="AB610"/>
      <c r="AC610" t="s">
        <v>49</v>
      </c>
      <c r="AD610"/>
    </row>
    <row r="611">
      <c r="A611" t="s">
        <v>30</v>
      </c>
      <c r="B611" t="s">
        <v>189</v>
      </c>
      <c r="C611" t="s">
        <v>1381</v>
      </c>
      <c r="D611" t="s">
        <v>262</v>
      </c>
      <c r="E611" t="s">
        <v>263</v>
      </c>
      <c r="F611" s="2">
        <v>46270</v>
      </c>
      <c r="G611">
        <v>5</v>
      </c>
      <c r="H611" t="s">
        <v>1074</v>
      </c>
      <c r="I611" t="s">
        <v>1075</v>
      </c>
      <c r="J611" t="s">
        <v>649</v>
      </c>
      <c r="K611" t="s">
        <v>419</v>
      </c>
      <c r="L611" t="s">
        <v>1076</v>
      </c>
      <c r="M611">
        <v>135</v>
      </c>
      <c r="N611">
        <v>135</v>
      </c>
      <c r="O611" t="s">
        <v>84</v>
      </c>
      <c r="P611">
        <v>1</v>
      </c>
      <c r="Q611">
        <f>N611/P611</f>
      </c>
      <c r="R611" s="1">
        <v>1175</v>
      </c>
      <c r="S611" s="1">
        <v>1175</v>
      </c>
      <c r="T611">
        <f>IF(R611=S611,"相符","不相符")</f>
      </c>
      <c r="U611"/>
      <c r="V611">
        <f>P611*R611</f>
      </c>
      <c r="W611">
        <f>Q611*V611</f>
      </c>
      <c r="X611">
        <v>1095</v>
      </c>
      <c r="Y611" t="s">
        <v>1372</v>
      </c>
      <c r="Z611" t="s">
        <v>1063</v>
      </c>
      <c r="AA611"/>
      <c r="AB611"/>
      <c r="AC611" t="s">
        <v>49</v>
      </c>
      <c r="AD611"/>
    </row>
    <row r="612">
      <c r="A612" t="s">
        <v>30</v>
      </c>
      <c r="B612" t="s">
        <v>189</v>
      </c>
      <c r="C612" t="s">
        <v>1381</v>
      </c>
      <c r="D612" t="s">
        <v>262</v>
      </c>
      <c r="E612" t="s">
        <v>263</v>
      </c>
      <c r="F612" s="2">
        <v>46270</v>
      </c>
      <c r="G612">
        <v>6</v>
      </c>
      <c r="H612" t="s">
        <v>1178</v>
      </c>
      <c r="I612" t="s">
        <v>1179</v>
      </c>
      <c r="J612" t="s">
        <v>1180</v>
      </c>
      <c r="K612" t="s">
        <v>419</v>
      </c>
      <c r="L612" t="s">
        <v>1181</v>
      </c>
      <c r="M612">
        <v>104</v>
      </c>
      <c r="N612">
        <v>104</v>
      </c>
      <c r="O612" t="s">
        <v>84</v>
      </c>
      <c r="P612">
        <v>1</v>
      </c>
      <c r="Q612">
        <f>N612/P612</f>
      </c>
      <c r="R612" s="1">
        <v>1175</v>
      </c>
      <c r="S612" s="1">
        <v>1175</v>
      </c>
      <c r="T612">
        <f>IF(R612=S612,"相符","不相符")</f>
      </c>
      <c r="U612"/>
      <c r="V612">
        <f>P612*R612</f>
      </c>
      <c r="W612">
        <f>Q612*V612</f>
      </c>
      <c r="X612">
        <v>1095</v>
      </c>
      <c r="Y612" t="s">
        <v>1372</v>
      </c>
      <c r="Z612" t="s">
        <v>1063</v>
      </c>
      <c r="AA612"/>
      <c r="AB612"/>
      <c r="AC612" t="s">
        <v>49</v>
      </c>
      <c r="AD612"/>
    </row>
    <row r="613">
      <c r="A613" t="s">
        <v>30</v>
      </c>
      <c r="B613" t="s">
        <v>189</v>
      </c>
      <c r="C613" t="s">
        <v>1382</v>
      </c>
      <c r="D613" t="s">
        <v>262</v>
      </c>
      <c r="E613" t="s">
        <v>263</v>
      </c>
      <c r="F613" s="2">
        <v>46270</v>
      </c>
      <c r="G613">
        <v>1</v>
      </c>
      <c r="H613" t="s">
        <v>1065</v>
      </c>
      <c r="I613" t="s">
        <v>1066</v>
      </c>
      <c r="J613" t="s">
        <v>461</v>
      </c>
      <c r="K613" t="s">
        <v>419</v>
      </c>
      <c r="L613" t="s">
        <v>1067</v>
      </c>
      <c r="M613">
        <v>160</v>
      </c>
      <c r="N613">
        <v>160</v>
      </c>
      <c r="O613" t="s">
        <v>84</v>
      </c>
      <c r="P613">
        <v>1</v>
      </c>
      <c r="Q613">
        <f>N613/P613</f>
      </c>
      <c r="R613" s="1">
        <v>1175</v>
      </c>
      <c r="S613" s="1">
        <v>1175</v>
      </c>
      <c r="T613">
        <f>IF(R613=S613,"相符","不相符")</f>
      </c>
      <c r="U613"/>
      <c r="V613">
        <f>P613*R613</f>
      </c>
      <c r="W613">
        <f>Q613*V613</f>
      </c>
      <c r="X613">
        <v>1095</v>
      </c>
      <c r="Y613" t="s">
        <v>1372</v>
      </c>
      <c r="Z613" t="s">
        <v>1063</v>
      </c>
      <c r="AA613"/>
      <c r="AB613"/>
      <c r="AC613" t="s">
        <v>49</v>
      </c>
      <c r="AD613"/>
    </row>
    <row r="614">
      <c r="A614" t="s">
        <v>30</v>
      </c>
      <c r="B614" t="s">
        <v>189</v>
      </c>
      <c r="C614" t="s">
        <v>1382</v>
      </c>
      <c r="D614" t="s">
        <v>262</v>
      </c>
      <c r="E614" t="s">
        <v>263</v>
      </c>
      <c r="F614" s="2">
        <v>46270</v>
      </c>
      <c r="G614">
        <v>2</v>
      </c>
      <c r="H614" t="s">
        <v>1068</v>
      </c>
      <c r="I614" t="s">
        <v>1069</v>
      </c>
      <c r="J614" t="s">
        <v>666</v>
      </c>
      <c r="K614" t="s">
        <v>419</v>
      </c>
      <c r="L614" t="s">
        <v>1070</v>
      </c>
      <c r="M614">
        <v>233</v>
      </c>
      <c r="N614">
        <v>233</v>
      </c>
      <c r="O614" t="s">
        <v>84</v>
      </c>
      <c r="P614">
        <v>1</v>
      </c>
      <c r="Q614">
        <f>N614/P614</f>
      </c>
      <c r="R614" s="1">
        <v>1175</v>
      </c>
      <c r="S614" s="1">
        <v>1175</v>
      </c>
      <c r="T614">
        <f>IF(R614=S614,"相符","不相符")</f>
      </c>
      <c r="U614"/>
      <c r="V614">
        <f>P614*R614</f>
      </c>
      <c r="W614">
        <f>Q614*V614</f>
      </c>
      <c r="X614">
        <v>1095</v>
      </c>
      <c r="Y614" t="s">
        <v>1372</v>
      </c>
      <c r="Z614" t="s">
        <v>1063</v>
      </c>
      <c r="AA614"/>
      <c r="AB614"/>
      <c r="AC614" t="s">
        <v>49</v>
      </c>
      <c r="AD614"/>
    </row>
    <row r="615">
      <c r="A615" t="s">
        <v>30</v>
      </c>
      <c r="B615" t="s">
        <v>189</v>
      </c>
      <c r="C615" t="s">
        <v>1382</v>
      </c>
      <c r="D615" t="s">
        <v>262</v>
      </c>
      <c r="E615" t="s">
        <v>263</v>
      </c>
      <c r="F615" s="2">
        <v>46270</v>
      </c>
      <c r="G615">
        <v>3</v>
      </c>
      <c r="H615" t="s">
        <v>1074</v>
      </c>
      <c r="I615" t="s">
        <v>1075</v>
      </c>
      <c r="J615" t="s">
        <v>649</v>
      </c>
      <c r="K615" t="s">
        <v>419</v>
      </c>
      <c r="L615" t="s">
        <v>1076</v>
      </c>
      <c r="M615">
        <v>108</v>
      </c>
      <c r="N615">
        <v>108</v>
      </c>
      <c r="O615" t="s">
        <v>84</v>
      </c>
      <c r="P615">
        <v>1</v>
      </c>
      <c r="Q615">
        <f>N615/P615</f>
      </c>
      <c r="R615" s="1">
        <v>1175</v>
      </c>
      <c r="S615" s="1">
        <v>1175</v>
      </c>
      <c r="T615">
        <f>IF(R615=S615,"相符","不相符")</f>
      </c>
      <c r="U615"/>
      <c r="V615">
        <f>P615*R615</f>
      </c>
      <c r="W615">
        <f>Q615*V615</f>
      </c>
      <c r="X615">
        <v>1095</v>
      </c>
      <c r="Y615" t="s">
        <v>1372</v>
      </c>
      <c r="Z615" t="s">
        <v>1063</v>
      </c>
      <c r="AA615"/>
      <c r="AB615"/>
      <c r="AC615" t="s">
        <v>49</v>
      </c>
      <c r="AD615"/>
    </row>
    <row r="616">
      <c r="A616" t="s">
        <v>30</v>
      </c>
      <c r="B616" t="s">
        <v>189</v>
      </c>
      <c r="C616" t="s">
        <v>1382</v>
      </c>
      <c r="D616" t="s">
        <v>262</v>
      </c>
      <c r="E616" t="s">
        <v>263</v>
      </c>
      <c r="F616" s="2">
        <v>46270</v>
      </c>
      <c r="G616">
        <v>4</v>
      </c>
      <c r="H616" t="s">
        <v>1178</v>
      </c>
      <c r="I616" t="s">
        <v>1179</v>
      </c>
      <c r="J616" t="s">
        <v>1180</v>
      </c>
      <c r="K616" t="s">
        <v>419</v>
      </c>
      <c r="L616" t="s">
        <v>1181</v>
      </c>
      <c r="M616">
        <v>26</v>
      </c>
      <c r="N616">
        <v>26</v>
      </c>
      <c r="O616" t="s">
        <v>84</v>
      </c>
      <c r="P616">
        <v>1</v>
      </c>
      <c r="Q616">
        <f>N616/P616</f>
      </c>
      <c r="R616" s="1">
        <v>1175</v>
      </c>
      <c r="S616" s="1">
        <v>1175</v>
      </c>
      <c r="T616">
        <f>IF(R616=S616,"相符","不相符")</f>
      </c>
      <c r="U616"/>
      <c r="V616">
        <f>P616*R616</f>
      </c>
      <c r="W616">
        <f>Q616*V616</f>
      </c>
      <c r="X616">
        <v>1095</v>
      </c>
      <c r="Y616" t="s">
        <v>1372</v>
      </c>
      <c r="Z616" t="s">
        <v>1063</v>
      </c>
      <c r="AA616"/>
      <c r="AB616"/>
      <c r="AC616" t="s">
        <v>49</v>
      </c>
      <c r="AD616"/>
    </row>
    <row r="617">
      <c r="A617" t="s">
        <v>30</v>
      </c>
      <c r="B617" t="s">
        <v>233</v>
      </c>
      <c r="C617" t="s">
        <v>1383</v>
      </c>
      <c r="D617" t="s">
        <v>478</v>
      </c>
      <c r="E617" t="s">
        <v>479</v>
      </c>
      <c r="F617" s="2">
        <v>46270</v>
      </c>
      <c r="G617">
        <v>1</v>
      </c>
      <c r="H617" t="s">
        <v>1384</v>
      </c>
      <c r="I617" t="s">
        <v>1385</v>
      </c>
      <c r="J617" t="s">
        <v>1386</v>
      </c>
      <c r="K617" t="s">
        <v>238</v>
      </c>
      <c r="L617" t="s">
        <v>1387</v>
      </c>
      <c r="M617">
        <v>72</v>
      </c>
      <c r="N617">
        <v>72</v>
      </c>
      <c r="O617" t="s">
        <v>240</v>
      </c>
      <c r="P617">
        <v>12</v>
      </c>
      <c r="Q617">
        <f>N617/P617</f>
      </c>
      <c r="R617" s="1">
        <v>73</v>
      </c>
      <c r="S617" s="1">
        <v>73</v>
      </c>
      <c r="T617">
        <f>IF(R617=S617,"相符","不相符")</f>
      </c>
      <c r="U617"/>
      <c r="V617">
        <f>P617*R617</f>
      </c>
      <c r="W617">
        <f>Q617*V617</f>
      </c>
      <c r="X617">
        <v>1095</v>
      </c>
      <c r="Y617" t="s">
        <v>1388</v>
      </c>
      <c r="Z617" t="s">
        <v>1389</v>
      </c>
      <c r="AA617"/>
      <c r="AB617"/>
      <c r="AC617" t="s">
        <v>243</v>
      </c>
      <c r="AD617"/>
    </row>
    <row r="618">
      <c r="A618" t="s">
        <v>30</v>
      </c>
      <c r="B618" t="s">
        <v>233</v>
      </c>
      <c r="C618" t="s">
        <v>1390</v>
      </c>
      <c r="D618" t="s">
        <v>478</v>
      </c>
      <c r="E618" t="s">
        <v>479</v>
      </c>
      <c r="F618" s="2">
        <v>46270</v>
      </c>
      <c r="G618">
        <v>1</v>
      </c>
      <c r="H618" t="s">
        <v>1391</v>
      </c>
      <c r="I618" t="s">
        <v>1392</v>
      </c>
      <c r="J618" t="s">
        <v>1393</v>
      </c>
      <c r="K618" t="s">
        <v>238</v>
      </c>
      <c r="L618" t="s">
        <v>1394</v>
      </c>
      <c r="M618">
        <v>2160</v>
      </c>
      <c r="N618">
        <v>2160</v>
      </c>
      <c r="O618" t="s">
        <v>240</v>
      </c>
      <c r="P618">
        <v>12</v>
      </c>
      <c r="Q618">
        <f>N618/P618</f>
      </c>
      <c r="R618" s="1">
        <v>87</v>
      </c>
      <c r="S618" s="1">
        <v>87</v>
      </c>
      <c r="T618">
        <f>IF(R618=S618,"相符","不相符")</f>
      </c>
      <c r="U618"/>
      <c r="V618">
        <f>P618*R618</f>
      </c>
      <c r="W618">
        <f>Q618*V618</f>
      </c>
      <c r="X618">
        <v>1095</v>
      </c>
      <c r="Y618" t="s">
        <v>1388</v>
      </c>
      <c r="Z618" t="s">
        <v>213</v>
      </c>
      <c r="AA618"/>
      <c r="AB618"/>
      <c r="AC618" t="s">
        <v>243</v>
      </c>
      <c r="AD618"/>
    </row>
    <row r="619">
      <c r="A619" t="s">
        <v>30</v>
      </c>
      <c r="B619" t="s">
        <v>254</v>
      </c>
      <c r="C619" t="s">
        <v>1390</v>
      </c>
      <c r="D619" t="s">
        <v>478</v>
      </c>
      <c r="E619" t="s">
        <v>479</v>
      </c>
      <c r="F619" s="2">
        <v>46270</v>
      </c>
      <c r="G619">
        <v>2</v>
      </c>
      <c r="H619" t="s">
        <v>255</v>
      </c>
      <c r="I619" t="s">
        <v>256</v>
      </c>
      <c r="J619" t="s">
        <v>257</v>
      </c>
      <c r="K619" t="s">
        <v>258</v>
      </c>
      <c r="L619" t="s">
        <v>259</v>
      </c>
      <c r="M619">
        <v>738</v>
      </c>
      <c r="N619">
        <v>730</v>
      </c>
      <c r="O619" t="s">
        <v>197</v>
      </c>
      <c r="P619">
        <v>10</v>
      </c>
      <c r="Q619">
        <f>N619/P619</f>
      </c>
      <c r="R619" s="1">
        <v>44</v>
      </c>
      <c r="S619" s="1">
        <v>44</v>
      </c>
      <c r="T619">
        <f>IF(R619=S619,"相符","不相符")</f>
      </c>
      <c r="U619"/>
      <c r="V619">
        <f>P619*R619</f>
      </c>
      <c r="W619">
        <f>Q619*V619</f>
      </c>
      <c r="X619">
        <v>1095</v>
      </c>
      <c r="Y619" t="s">
        <v>1395</v>
      </c>
      <c r="Z619" t="s">
        <v>213</v>
      </c>
      <c r="AA619"/>
      <c r="AB619"/>
      <c r="AC619" t="s">
        <v>243</v>
      </c>
      <c r="AD619"/>
    </row>
    <row r="620">
      <c r="A620" t="s">
        <v>30</v>
      </c>
      <c r="B620" t="s">
        <v>254</v>
      </c>
      <c r="C620" t="s">
        <v>1396</v>
      </c>
      <c r="D620" t="s">
        <v>262</v>
      </c>
      <c r="E620" t="s">
        <v>263</v>
      </c>
      <c r="F620" s="2">
        <v>46270</v>
      </c>
      <c r="G620">
        <v>1</v>
      </c>
      <c r="H620" t="s">
        <v>264</v>
      </c>
      <c r="I620" t="s">
        <v>265</v>
      </c>
      <c r="J620" t="s">
        <v>266</v>
      </c>
      <c r="K620" t="s">
        <v>258</v>
      </c>
      <c r="L620" t="s">
        <v>267</v>
      </c>
      <c r="M620">
        <v>22022</v>
      </c>
      <c r="N620">
        <v>5600</v>
      </c>
      <c r="O620" t="s">
        <v>197</v>
      </c>
      <c r="P620">
        <v>7</v>
      </c>
      <c r="Q620">
        <f>N620/P620</f>
      </c>
      <c r="R620" s="1">
        <v>92</v>
      </c>
      <c r="S620" s="1">
        <v>92</v>
      </c>
      <c r="T620">
        <f>IF(R620=S620,"相符","不相符")</f>
      </c>
      <c r="U620" t="s">
        <v>268</v>
      </c>
      <c r="V620">
        <f>P620*R620</f>
      </c>
      <c r="W620">
        <f>Q620*V620</f>
      </c>
      <c r="X620">
        <v>1825</v>
      </c>
      <c r="Y620" t="s">
        <v>1397</v>
      </c>
      <c r="Z620" t="s">
        <v>42</v>
      </c>
      <c r="AA620"/>
      <c r="AB620"/>
      <c r="AC620" t="s">
        <v>243</v>
      </c>
      <c r="AD620"/>
    </row>
    <row r="621">
      <c r="A621" t="s">
        <v>30</v>
      </c>
      <c r="B621" t="s">
        <v>254</v>
      </c>
      <c r="C621" t="s">
        <v>1398</v>
      </c>
      <c r="D621" t="s">
        <v>604</v>
      </c>
      <c r="E621" t="s">
        <v>605</v>
      </c>
      <c r="F621" s="2">
        <v>46270</v>
      </c>
      <c r="G621">
        <v>1</v>
      </c>
      <c r="H621" t="s">
        <v>1118</v>
      </c>
      <c r="I621" t="s">
        <v>1119</v>
      </c>
      <c r="J621" t="s">
        <v>1120</v>
      </c>
      <c r="K621" t="s">
        <v>491</v>
      </c>
      <c r="L621" t="s">
        <v>1121</v>
      </c>
      <c r="M621">
        <v>84</v>
      </c>
      <c r="N621">
        <v>84</v>
      </c>
      <c r="O621" t="s">
        <v>197</v>
      </c>
      <c r="P621">
        <v>3</v>
      </c>
      <c r="Q621">
        <f>N621/P621</f>
      </c>
      <c r="R621" s="1">
        <v>315</v>
      </c>
      <c r="S621" s="1">
        <v>315</v>
      </c>
      <c r="T621">
        <f>IF(R621=S621,"相符","不相符")</f>
      </c>
      <c r="U621" t="s">
        <v>1122</v>
      </c>
      <c r="V621">
        <f>P621*R621</f>
      </c>
      <c r="W621">
        <f>Q621*V621</f>
      </c>
      <c r="X621">
        <v>1825</v>
      </c>
      <c r="Y621" t="s">
        <v>1397</v>
      </c>
      <c r="Z621" t="s">
        <v>42</v>
      </c>
      <c r="AA621"/>
      <c r="AB621"/>
      <c r="AC621" t="s">
        <v>243</v>
      </c>
      <c r="AD621"/>
    </row>
    <row r="622">
      <c r="A622" t="s">
        <v>30</v>
      </c>
      <c r="B622" t="s">
        <v>254</v>
      </c>
      <c r="C622" t="s">
        <v>1398</v>
      </c>
      <c r="D622" t="s">
        <v>604</v>
      </c>
      <c r="E622" t="s">
        <v>605</v>
      </c>
      <c r="F622" s="2">
        <v>46270</v>
      </c>
      <c r="G622">
        <v>2</v>
      </c>
      <c r="H622" t="s">
        <v>264</v>
      </c>
      <c r="I622" t="s">
        <v>265</v>
      </c>
      <c r="J622" t="s">
        <v>266</v>
      </c>
      <c r="K622" t="s">
        <v>258</v>
      </c>
      <c r="L622" t="s">
        <v>267</v>
      </c>
      <c r="M622">
        <v>273</v>
      </c>
      <c r="N622">
        <v>273</v>
      </c>
      <c r="O622" t="s">
        <v>197</v>
      </c>
      <c r="P622">
        <v>7</v>
      </c>
      <c r="Q622">
        <f>N622/P622</f>
      </c>
      <c r="R622" s="1">
        <v>92</v>
      </c>
      <c r="S622" s="1">
        <v>92</v>
      </c>
      <c r="T622">
        <f>IF(R622=S622,"相符","不相符")</f>
      </c>
      <c r="U622" t="s">
        <v>268</v>
      </c>
      <c r="V622">
        <f>P622*R622</f>
      </c>
      <c r="W622">
        <f>Q622*V622</f>
      </c>
      <c r="X622">
        <v>1825</v>
      </c>
      <c r="Y622" t="s">
        <v>1397</v>
      </c>
      <c r="Z622" t="s">
        <v>42</v>
      </c>
      <c r="AA622"/>
      <c r="AB622"/>
      <c r="AC622" t="s">
        <v>243</v>
      </c>
      <c r="AD622"/>
    </row>
    <row r="623">
      <c r="A623" t="s">
        <v>30</v>
      </c>
      <c r="B623" t="s">
        <v>254</v>
      </c>
      <c r="C623" t="s">
        <v>1398</v>
      </c>
      <c r="D623" t="s">
        <v>604</v>
      </c>
      <c r="E623" t="s">
        <v>605</v>
      </c>
      <c r="F623" s="2">
        <v>46270</v>
      </c>
      <c r="G623">
        <v>3</v>
      </c>
      <c r="H623" t="s">
        <v>833</v>
      </c>
      <c r="I623" t="s">
        <v>834</v>
      </c>
      <c r="J623" t="s">
        <v>835</v>
      </c>
      <c r="K623" t="s">
        <v>258</v>
      </c>
      <c r="L623" t="s">
        <v>836</v>
      </c>
      <c r="M623">
        <v>550</v>
      </c>
      <c r="N623">
        <v>550</v>
      </c>
      <c r="O623" t="s">
        <v>84</v>
      </c>
      <c r="P623">
        <v>1</v>
      </c>
      <c r="Q623">
        <f>N623/P623</f>
      </c>
      <c r="R623" s="1">
        <v>642</v>
      </c>
      <c r="S623" s="1">
        <v>642</v>
      </c>
      <c r="T623">
        <f>IF(R623=S623,"相符","不相符")</f>
      </c>
      <c r="U623" t="s">
        <v>837</v>
      </c>
      <c r="V623">
        <f>P623*R623</f>
      </c>
      <c r="W623">
        <f>Q623*V623</f>
      </c>
      <c r="X623">
        <v>1825</v>
      </c>
      <c r="Y623" t="s">
        <v>1397</v>
      </c>
      <c r="Z623" t="s">
        <v>42</v>
      </c>
      <c r="AA623"/>
      <c r="AB623"/>
      <c r="AC623" t="s">
        <v>243</v>
      </c>
      <c r="AD623"/>
    </row>
    <row r="624">
      <c r="A624" t="s">
        <v>30</v>
      </c>
      <c r="B624" t="s">
        <v>31</v>
      </c>
      <c r="C624" t="s">
        <v>1399</v>
      </c>
      <c r="D624" t="s">
        <v>191</v>
      </c>
      <c r="E624" t="s">
        <v>192</v>
      </c>
      <c r="F624" s="2">
        <v>46281</v>
      </c>
      <c r="G624">
        <v>1</v>
      </c>
      <c r="H624" t="s">
        <v>60</v>
      </c>
      <c r="I624" t="s">
        <v>61</v>
      </c>
      <c r="J624" t="s">
        <v>62</v>
      </c>
      <c r="K624" t="s">
        <v>63</v>
      </c>
      <c r="L624" t="s">
        <v>64</v>
      </c>
      <c r="M624">
        <v>5</v>
      </c>
      <c r="N624">
        <v>5</v>
      </c>
      <c r="O624" t="s">
        <v>40</v>
      </c>
      <c r="P624">
        <v>12</v>
      </c>
      <c r="Q624">
        <f>N624/P624</f>
      </c>
      <c r="R624" s="1">
        <v>317</v>
      </c>
      <c r="S624" s="1">
        <v>317</v>
      </c>
      <c r="T624">
        <f>IF(R624=S624,"相符","不相符")</f>
      </c>
      <c r="U624" t="s">
        <v>62</v>
      </c>
      <c r="V624">
        <f>P624*R624</f>
      </c>
      <c r="W624">
        <f>Q624*V624</f>
      </c>
      <c r="X624">
        <v>450</v>
      </c>
      <c r="Y624" t="s">
        <v>65</v>
      </c>
      <c r="Z624" t="s">
        <v>1400</v>
      </c>
      <c r="AA624"/>
      <c r="AB624"/>
      <c r="AC624" t="s">
        <v>43</v>
      </c>
      <c r="AD624"/>
    </row>
    <row r="625">
      <c r="A625" t="s">
        <v>30</v>
      </c>
      <c r="B625" t="s">
        <v>31</v>
      </c>
      <c r="C625" t="s">
        <v>1399</v>
      </c>
      <c r="D625" t="s">
        <v>191</v>
      </c>
      <c r="E625" t="s">
        <v>192</v>
      </c>
      <c r="F625" s="2">
        <v>46281</v>
      </c>
      <c r="G625">
        <v>2</v>
      </c>
      <c r="H625" t="s">
        <v>533</v>
      </c>
      <c r="I625" t="s">
        <v>534</v>
      </c>
      <c r="J625" t="s">
        <v>535</v>
      </c>
      <c r="K625" t="s">
        <v>63</v>
      </c>
      <c r="L625" t="s">
        <v>536</v>
      </c>
      <c r="M625">
        <v>8</v>
      </c>
      <c r="N625">
        <v>8</v>
      </c>
      <c r="O625" t="s">
        <v>40</v>
      </c>
      <c r="P625">
        <v>12</v>
      </c>
      <c r="Q625">
        <f>N625/P625</f>
      </c>
      <c r="R625" s="1">
        <v>317</v>
      </c>
      <c r="S625" s="1">
        <v>317</v>
      </c>
      <c r="T625">
        <f>IF(R625=S625,"相符","不相符")</f>
      </c>
      <c r="U625" t="s">
        <v>535</v>
      </c>
      <c r="V625">
        <f>P625*R625</f>
      </c>
      <c r="W625">
        <f>Q625*V625</f>
      </c>
      <c r="X625">
        <v>450</v>
      </c>
      <c r="Y625" t="s">
        <v>147</v>
      </c>
      <c r="Z625" t="s">
        <v>1400</v>
      </c>
      <c r="AA625"/>
      <c r="AB625"/>
      <c r="AC625" t="s">
        <v>43</v>
      </c>
      <c r="AD625"/>
    </row>
    <row r="626">
      <c r="A626" t="s">
        <v>30</v>
      </c>
      <c r="B626" t="s">
        <v>31</v>
      </c>
      <c r="C626" t="s">
        <v>1401</v>
      </c>
      <c r="D626" t="s">
        <v>33</v>
      </c>
      <c r="E626" t="s">
        <v>34</v>
      </c>
      <c r="F626" s="2">
        <v>46287</v>
      </c>
      <c r="G626">
        <v>1</v>
      </c>
      <c r="H626" t="s">
        <v>184</v>
      </c>
      <c r="I626" t="s">
        <v>185</v>
      </c>
      <c r="J626" t="s">
        <v>186</v>
      </c>
      <c r="K626" t="s">
        <v>69</v>
      </c>
      <c r="L626" t="s">
        <v>187</v>
      </c>
      <c r="M626">
        <v>6</v>
      </c>
      <c r="N626">
        <v>6</v>
      </c>
      <c r="O626" t="s">
        <v>177</v>
      </c>
      <c r="P626">
        <v>40</v>
      </c>
      <c r="Q626">
        <f>N626/P626</f>
      </c>
      <c r="R626" s="1">
        <v>118.2</v>
      </c>
      <c r="S626" s="1">
        <v>118</v>
      </c>
      <c r="T626">
        <f>IF(R626=S626,"相符","不相符")</f>
      </c>
      <c r="U626" t="s">
        <v>186</v>
      </c>
      <c r="V626">
        <f>P626*R626</f>
      </c>
      <c r="W626">
        <f>Q626*V626</f>
      </c>
      <c r="X626">
        <v>540</v>
      </c>
      <c r="Y626" t="s">
        <v>1402</v>
      </c>
      <c r="Z626" t="s">
        <v>1403</v>
      </c>
      <c r="AA626"/>
      <c r="AB626"/>
      <c r="AC626" t="s">
        <v>43</v>
      </c>
      <c r="AD626"/>
    </row>
    <row r="627">
      <c r="A627" t="s">
        <v>30</v>
      </c>
      <c r="B627" t="s">
        <v>31</v>
      </c>
      <c r="C627" t="s">
        <v>1401</v>
      </c>
      <c r="D627" t="s">
        <v>33</v>
      </c>
      <c r="E627" t="s">
        <v>34</v>
      </c>
      <c r="F627" s="2">
        <v>46287</v>
      </c>
      <c r="G627">
        <v>2</v>
      </c>
      <c r="H627" t="s">
        <v>398</v>
      </c>
      <c r="I627" t="s">
        <v>399</v>
      </c>
      <c r="J627" t="s">
        <v>400</v>
      </c>
      <c r="K627" t="s">
        <v>69</v>
      </c>
      <c r="L627" t="s">
        <v>401</v>
      </c>
      <c r="M627">
        <v>33</v>
      </c>
      <c r="N627">
        <v>33</v>
      </c>
      <c r="O627" t="s">
        <v>40</v>
      </c>
      <c r="P627">
        <v>4</v>
      </c>
      <c r="Q627">
        <f>N627/P627</f>
      </c>
      <c r="R627" s="1">
        <v>739</v>
      </c>
      <c r="S627" s="1">
        <v>739</v>
      </c>
      <c r="T627">
        <f>IF(R627=S627,"相符","不相符")</f>
      </c>
      <c r="U627" t="s">
        <v>400</v>
      </c>
      <c r="V627">
        <f>P627*R627</f>
      </c>
      <c r="W627">
        <f>Q627*V627</f>
      </c>
      <c r="X627">
        <v>540</v>
      </c>
      <c r="Y627" t="s">
        <v>409</v>
      </c>
      <c r="Z627" t="s">
        <v>1403</v>
      </c>
      <c r="AA627"/>
      <c r="AB627"/>
      <c r="AC627" t="s">
        <v>43</v>
      </c>
      <c r="AD627"/>
    </row>
    <row r="628">
      <c r="A628" t="s">
        <v>30</v>
      </c>
      <c r="B628" t="s">
        <v>31</v>
      </c>
      <c r="C628" t="s">
        <v>1401</v>
      </c>
      <c r="D628" t="s">
        <v>33</v>
      </c>
      <c r="E628" t="s">
        <v>34</v>
      </c>
      <c r="F628" s="2">
        <v>46287</v>
      </c>
      <c r="G628">
        <v>3</v>
      </c>
      <c r="H628" t="s">
        <v>983</v>
      </c>
      <c r="I628" t="s">
        <v>984</v>
      </c>
      <c r="J628" t="s">
        <v>985</v>
      </c>
      <c r="K628" t="s">
        <v>38</v>
      </c>
      <c r="L628" t="s">
        <v>986</v>
      </c>
      <c r="M628">
        <v>21</v>
      </c>
      <c r="N628">
        <v>21</v>
      </c>
      <c r="O628" t="s">
        <v>177</v>
      </c>
      <c r="P628">
        <v>12</v>
      </c>
      <c r="Q628">
        <f>N628/P628</f>
      </c>
      <c r="R628" s="1">
        <v>141.33</v>
      </c>
      <c r="S628" s="1">
        <v>141.16</v>
      </c>
      <c r="T628">
        <f>IF(R628=S628,"相符","不相符")</f>
      </c>
      <c r="U628" t="s">
        <v>985</v>
      </c>
      <c r="V628">
        <f>P628*R628</f>
      </c>
      <c r="W628">
        <f>Q628*V628</f>
      </c>
      <c r="X628">
        <v>730</v>
      </c>
      <c r="Y628" t="s">
        <v>1404</v>
      </c>
      <c r="Z628" t="s">
        <v>1403</v>
      </c>
      <c r="AA628"/>
      <c r="AB628"/>
      <c r="AC628" t="s">
        <v>43</v>
      </c>
      <c r="AD628"/>
    </row>
    <row r="629">
      <c r="A629" t="s">
        <v>30</v>
      </c>
      <c r="B629" t="s">
        <v>233</v>
      </c>
      <c r="C629" t="s">
        <v>1405</v>
      </c>
      <c r="D629" t="s">
        <v>191</v>
      </c>
      <c r="E629" t="s">
        <v>192</v>
      </c>
      <c r="F629" s="2">
        <v>46279</v>
      </c>
      <c r="G629">
        <v>1</v>
      </c>
      <c r="H629" t="s">
        <v>480</v>
      </c>
      <c r="I629" t="s">
        <v>481</v>
      </c>
      <c r="J629" t="s">
        <v>482</v>
      </c>
      <c r="K629" t="s">
        <v>238</v>
      </c>
      <c r="L629" t="s">
        <v>483</v>
      </c>
      <c r="M629">
        <v>408</v>
      </c>
      <c r="N629">
        <v>408</v>
      </c>
      <c r="O629" t="s">
        <v>240</v>
      </c>
      <c r="P629">
        <v>6</v>
      </c>
      <c r="Q629">
        <f>N629/P629</f>
      </c>
      <c r="R629" s="1">
        <v>167</v>
      </c>
      <c r="S629" s="1">
        <v>167</v>
      </c>
      <c r="T629">
        <f>IF(R629=S629,"相符","不相符")</f>
      </c>
      <c r="U629"/>
      <c r="V629">
        <f>P629*R629</f>
      </c>
      <c r="W629">
        <f>Q629*V629</f>
      </c>
      <c r="X629">
        <v>1095</v>
      </c>
      <c r="Y629" t="s">
        <v>1406</v>
      </c>
      <c r="Z629" t="s">
        <v>42</v>
      </c>
      <c r="AA629"/>
      <c r="AB629"/>
      <c r="AC629" t="s">
        <v>243</v>
      </c>
      <c r="AD629"/>
    </row>
    <row r="630">
      <c r="A630" t="s">
        <v>30</v>
      </c>
      <c r="B630" t="s">
        <v>233</v>
      </c>
      <c r="C630" t="s">
        <v>1405</v>
      </c>
      <c r="D630" t="s">
        <v>191</v>
      </c>
      <c r="E630" t="s">
        <v>192</v>
      </c>
      <c r="F630" s="2">
        <v>46279</v>
      </c>
      <c r="G630">
        <v>2</v>
      </c>
      <c r="H630" t="s">
        <v>1310</v>
      </c>
      <c r="I630" t="s">
        <v>1311</v>
      </c>
      <c r="J630" t="s">
        <v>1312</v>
      </c>
      <c r="K630" t="s">
        <v>238</v>
      </c>
      <c r="L630" t="s">
        <v>1313</v>
      </c>
      <c r="M630">
        <v>348</v>
      </c>
      <c r="N630">
        <v>348</v>
      </c>
      <c r="O630" t="s">
        <v>177</v>
      </c>
      <c r="P630">
        <v>6</v>
      </c>
      <c r="Q630">
        <f>N630/P630</f>
      </c>
      <c r="R630" s="1">
        <v>129</v>
      </c>
      <c r="S630" s="1">
        <v>129</v>
      </c>
      <c r="T630">
        <f>IF(R630=S630,"相符","不相符")</f>
      </c>
      <c r="U630"/>
      <c r="V630">
        <f>P630*R630</f>
      </c>
      <c r="W630">
        <f>Q630*V630</f>
      </c>
      <c r="X630">
        <v>1095</v>
      </c>
      <c r="Y630" t="s">
        <v>1406</v>
      </c>
      <c r="Z630" t="s">
        <v>42</v>
      </c>
      <c r="AA630"/>
      <c r="AB630"/>
      <c r="AC630" t="s">
        <v>243</v>
      </c>
      <c r="AD630"/>
    </row>
    <row r="631">
      <c r="A631" t="s">
        <v>30</v>
      </c>
      <c r="B631" t="s">
        <v>233</v>
      </c>
      <c r="C631" t="s">
        <v>1405</v>
      </c>
      <c r="D631" t="s">
        <v>191</v>
      </c>
      <c r="E631" t="s">
        <v>192</v>
      </c>
      <c r="F631" s="2">
        <v>46279</v>
      </c>
      <c r="G631">
        <v>3</v>
      </c>
      <c r="H631" t="s">
        <v>1315</v>
      </c>
      <c r="I631" t="s">
        <v>1316</v>
      </c>
      <c r="J631" t="s">
        <v>1317</v>
      </c>
      <c r="K631" t="s">
        <v>238</v>
      </c>
      <c r="L631" t="s">
        <v>1318</v>
      </c>
      <c r="M631">
        <v>342</v>
      </c>
      <c r="N631">
        <v>342</v>
      </c>
      <c r="O631" t="s">
        <v>177</v>
      </c>
      <c r="P631">
        <v>6</v>
      </c>
      <c r="Q631">
        <f>N631/P631</f>
      </c>
      <c r="R631" s="1">
        <v>123</v>
      </c>
      <c r="S631" s="1">
        <v>123</v>
      </c>
      <c r="T631">
        <f>IF(R631=S631,"相符","不相符")</f>
      </c>
      <c r="U631"/>
      <c r="V631">
        <f>P631*R631</f>
      </c>
      <c r="W631">
        <f>Q631*V631</f>
      </c>
      <c r="X631">
        <v>1095</v>
      </c>
      <c r="Y631" t="s">
        <v>1406</v>
      </c>
      <c r="Z631" t="s">
        <v>42</v>
      </c>
      <c r="AA631"/>
      <c r="AB631"/>
      <c r="AC631" t="s">
        <v>243</v>
      </c>
      <c r="AD631"/>
    </row>
    <row r="632">
      <c r="A632" t="s">
        <v>30</v>
      </c>
      <c r="B632" t="s">
        <v>254</v>
      </c>
      <c r="C632" t="s">
        <v>1405</v>
      </c>
      <c r="D632" t="s">
        <v>191</v>
      </c>
      <c r="E632" t="s">
        <v>192</v>
      </c>
      <c r="F632" s="2">
        <v>46279</v>
      </c>
      <c r="G632">
        <v>4</v>
      </c>
      <c r="H632" t="s">
        <v>272</v>
      </c>
      <c r="I632" t="s">
        <v>273</v>
      </c>
      <c r="J632" t="s">
        <v>274</v>
      </c>
      <c r="K632" t="s">
        <v>258</v>
      </c>
      <c r="L632" t="s">
        <v>275</v>
      </c>
      <c r="M632">
        <v>1488</v>
      </c>
      <c r="N632">
        <v>1488</v>
      </c>
      <c r="O632" t="s">
        <v>197</v>
      </c>
      <c r="P632">
        <v>8</v>
      </c>
      <c r="Q632">
        <f>N632/P632</f>
      </c>
      <c r="R632" s="1">
        <v>65</v>
      </c>
      <c r="S632" s="1">
        <v>65</v>
      </c>
      <c r="T632">
        <f>IF(R632=S632,"相符","不相符")</f>
      </c>
      <c r="U632" t="s">
        <v>276</v>
      </c>
      <c r="V632">
        <f>P632*R632</f>
      </c>
      <c r="W632">
        <f>Q632*V632</f>
      </c>
      <c r="X632">
        <v>1825</v>
      </c>
      <c r="Y632" t="s">
        <v>1407</v>
      </c>
      <c r="Z632" t="s">
        <v>42</v>
      </c>
      <c r="AA632"/>
      <c r="AB632"/>
      <c r="AC632" t="s">
        <v>243</v>
      </c>
      <c r="AD632"/>
    </row>
    <row r="633">
      <c r="A633" t="s">
        <v>30</v>
      </c>
      <c r="B633" t="s">
        <v>233</v>
      </c>
      <c r="C633" t="s">
        <v>1405</v>
      </c>
      <c r="D633" t="s">
        <v>191</v>
      </c>
      <c r="E633" t="s">
        <v>192</v>
      </c>
      <c r="F633" s="2">
        <v>46279</v>
      </c>
      <c r="G633">
        <v>5</v>
      </c>
      <c r="H633" t="s">
        <v>496</v>
      </c>
      <c r="I633" t="s">
        <v>497</v>
      </c>
      <c r="J633" t="s">
        <v>498</v>
      </c>
      <c r="K633" t="s">
        <v>238</v>
      </c>
      <c r="L633" t="s">
        <v>499</v>
      </c>
      <c r="M633">
        <v>132</v>
      </c>
      <c r="N633">
        <v>132</v>
      </c>
      <c r="O633" t="s">
        <v>240</v>
      </c>
      <c r="P633">
        <v>12</v>
      </c>
      <c r="Q633">
        <f>N633/P633</f>
      </c>
      <c r="R633" s="1">
        <v>88</v>
      </c>
      <c r="S633" s="1">
        <v>88</v>
      </c>
      <c r="T633">
        <f>IF(R633=S633,"相符","不相符")</f>
      </c>
      <c r="U633"/>
      <c r="V633">
        <f>P633*R633</f>
      </c>
      <c r="W633">
        <f>Q633*V633</f>
      </c>
      <c r="X633">
        <v>1095</v>
      </c>
      <c r="Y633" t="s">
        <v>1408</v>
      </c>
      <c r="Z633" t="s">
        <v>42</v>
      </c>
      <c r="AA633"/>
      <c r="AB633"/>
      <c r="AC633" t="s">
        <v>243</v>
      </c>
      <c r="AD633"/>
    </row>
    <row r="634">
      <c r="A634" t="s">
        <v>30</v>
      </c>
      <c r="B634" t="s">
        <v>233</v>
      </c>
      <c r="C634" t="s">
        <v>1405</v>
      </c>
      <c r="D634" t="s">
        <v>191</v>
      </c>
      <c r="E634" t="s">
        <v>192</v>
      </c>
      <c r="F634" s="2">
        <v>46279</v>
      </c>
      <c r="G634">
        <v>6</v>
      </c>
      <c r="H634" t="s">
        <v>1129</v>
      </c>
      <c r="I634" t="s">
        <v>1130</v>
      </c>
      <c r="J634" t="s">
        <v>1131</v>
      </c>
      <c r="K634" t="s">
        <v>238</v>
      </c>
      <c r="L634" t="s">
        <v>1132</v>
      </c>
      <c r="M634">
        <v>360</v>
      </c>
      <c r="N634">
        <v>360</v>
      </c>
      <c r="O634" t="s">
        <v>240</v>
      </c>
      <c r="P634">
        <v>6</v>
      </c>
      <c r="Q634">
        <f>N634/P634</f>
      </c>
      <c r="R634" s="1">
        <v>176</v>
      </c>
      <c r="S634" s="1">
        <v>176</v>
      </c>
      <c r="T634">
        <f>IF(R634=S634,"相符","不相符")</f>
      </c>
      <c r="U634"/>
      <c r="V634">
        <f>P634*R634</f>
      </c>
      <c r="W634">
        <f>Q634*V634</f>
      </c>
      <c r="X634">
        <v>1095</v>
      </c>
      <c r="Y634" t="s">
        <v>1408</v>
      </c>
      <c r="Z634" t="s">
        <v>42</v>
      </c>
      <c r="AA634"/>
      <c r="AB634"/>
      <c r="AC634" t="s">
        <v>243</v>
      </c>
      <c r="AD634"/>
    </row>
    <row r="635">
      <c r="A635" t="s">
        <v>30</v>
      </c>
      <c r="B635" t="s">
        <v>233</v>
      </c>
      <c r="C635" t="s">
        <v>1405</v>
      </c>
      <c r="D635" t="s">
        <v>191</v>
      </c>
      <c r="E635" t="s">
        <v>192</v>
      </c>
      <c r="F635" s="2">
        <v>46279</v>
      </c>
      <c r="G635">
        <v>7</v>
      </c>
      <c r="H635" t="s">
        <v>870</v>
      </c>
      <c r="I635" t="s">
        <v>871</v>
      </c>
      <c r="J635" t="s">
        <v>872</v>
      </c>
      <c r="K635" t="s">
        <v>238</v>
      </c>
      <c r="L635" t="s">
        <v>873</v>
      </c>
      <c r="M635">
        <v>840</v>
      </c>
      <c r="N635">
        <v>840</v>
      </c>
      <c r="O635" t="s">
        <v>177</v>
      </c>
      <c r="P635">
        <v>6</v>
      </c>
      <c r="Q635">
        <f>N635/P635</f>
      </c>
      <c r="R635" s="1">
        <v>116</v>
      </c>
      <c r="S635" s="1">
        <v>116</v>
      </c>
      <c r="T635">
        <f>IF(R635=S635,"相符","不相符")</f>
      </c>
      <c r="U635"/>
      <c r="V635">
        <f>P635*R635</f>
      </c>
      <c r="W635">
        <f>Q635*V635</f>
      </c>
      <c r="X635">
        <v>1095</v>
      </c>
      <c r="Y635" t="s">
        <v>1406</v>
      </c>
      <c r="Z635" t="s">
        <v>42</v>
      </c>
      <c r="AA635"/>
      <c r="AB635"/>
      <c r="AC635" t="s">
        <v>243</v>
      </c>
      <c r="AD635"/>
    </row>
    <row r="636">
      <c r="A636" t="s">
        <v>30</v>
      </c>
      <c r="B636" t="s">
        <v>233</v>
      </c>
      <c r="C636" t="s">
        <v>1405</v>
      </c>
      <c r="D636" t="s">
        <v>191</v>
      </c>
      <c r="E636" t="s">
        <v>192</v>
      </c>
      <c r="F636" s="2">
        <v>46279</v>
      </c>
      <c r="G636">
        <v>8</v>
      </c>
      <c r="H636" t="s">
        <v>1320</v>
      </c>
      <c r="I636" t="s">
        <v>1321</v>
      </c>
      <c r="J636" t="s">
        <v>1322</v>
      </c>
      <c r="K636" t="s">
        <v>238</v>
      </c>
      <c r="L636" t="s">
        <v>1323</v>
      </c>
      <c r="M636">
        <v>18</v>
      </c>
      <c r="N636">
        <v>18</v>
      </c>
      <c r="O636" t="s">
        <v>240</v>
      </c>
      <c r="P636">
        <v>6</v>
      </c>
      <c r="Q636">
        <f>N636/P636</f>
      </c>
      <c r="R636" s="1">
        <v>203</v>
      </c>
      <c r="S636" s="1">
        <v>203</v>
      </c>
      <c r="T636">
        <f>IF(R636=S636,"相符","不相符")</f>
      </c>
      <c r="U636"/>
      <c r="V636">
        <f>P636*R636</f>
      </c>
      <c r="W636">
        <f>Q636*V636</f>
      </c>
      <c r="X636">
        <v>1095</v>
      </c>
      <c r="Y636" t="s">
        <v>1406</v>
      </c>
      <c r="Z636" t="s">
        <v>42</v>
      </c>
      <c r="AA636"/>
      <c r="AB636"/>
      <c r="AC636" t="s">
        <v>243</v>
      </c>
      <c r="AD636"/>
    </row>
    <row r="637">
      <c r="A637" t="s">
        <v>30</v>
      </c>
      <c r="B637" t="s">
        <v>233</v>
      </c>
      <c r="C637" t="s">
        <v>1405</v>
      </c>
      <c r="D637" t="s">
        <v>191</v>
      </c>
      <c r="E637" t="s">
        <v>192</v>
      </c>
      <c r="F637" s="2">
        <v>46279</v>
      </c>
      <c r="G637">
        <v>9</v>
      </c>
      <c r="H637" t="s">
        <v>249</v>
      </c>
      <c r="I637" t="s">
        <v>250</v>
      </c>
      <c r="J637" t="s">
        <v>251</v>
      </c>
      <c r="K637" t="s">
        <v>238</v>
      </c>
      <c r="L637" t="s">
        <v>252</v>
      </c>
      <c r="M637">
        <v>456</v>
      </c>
      <c r="N637">
        <v>456</v>
      </c>
      <c r="O637" t="s">
        <v>177</v>
      </c>
      <c r="P637">
        <v>6</v>
      </c>
      <c r="Q637">
        <f>N637/P637</f>
      </c>
      <c r="R637" s="1">
        <v>137</v>
      </c>
      <c r="S637" s="1">
        <v>137</v>
      </c>
      <c r="T637">
        <f>IF(R637=S637,"相符","不相符")</f>
      </c>
      <c r="U637"/>
      <c r="V637">
        <f>P637*R637</f>
      </c>
      <c r="W637">
        <f>Q637*V637</f>
      </c>
      <c r="X637">
        <v>1095</v>
      </c>
      <c r="Y637" t="s">
        <v>1406</v>
      </c>
      <c r="Z637" t="s">
        <v>42</v>
      </c>
      <c r="AA637"/>
      <c r="AB637"/>
      <c r="AC637" t="s">
        <v>243</v>
      </c>
      <c r="AD637"/>
    </row>
    <row r="638">
      <c r="A638" t="s">
        <v>30</v>
      </c>
      <c r="B638" t="s">
        <v>254</v>
      </c>
      <c r="C638" t="s">
        <v>1409</v>
      </c>
      <c r="D638" t="s">
        <v>567</v>
      </c>
      <c r="E638" t="s">
        <v>568</v>
      </c>
      <c r="F638" s="2">
        <v>46286</v>
      </c>
      <c r="G638">
        <v>1</v>
      </c>
      <c r="H638" t="s">
        <v>854</v>
      </c>
      <c r="I638" t="s">
        <v>855</v>
      </c>
      <c r="J638" t="s">
        <v>856</v>
      </c>
      <c r="K638" t="s">
        <v>258</v>
      </c>
      <c r="L638" t="s">
        <v>857</v>
      </c>
      <c r="M638">
        <v>1</v>
      </c>
      <c r="N638">
        <v>1</v>
      </c>
      <c r="O638" t="s">
        <v>84</v>
      </c>
      <c r="P638">
        <v>1</v>
      </c>
      <c r="Q638">
        <f>N638/P638</f>
      </c>
      <c r="R638" s="1">
        <v>480</v>
      </c>
      <c r="S638" s="1">
        <v>480</v>
      </c>
      <c r="T638">
        <f>IF(R638=S638,"相符","不相符")</f>
      </c>
      <c r="U638"/>
      <c r="V638">
        <f>P638*R638</f>
      </c>
      <c r="W638">
        <f>Q638*V638</f>
      </c>
      <c r="X638">
        <v>1825</v>
      </c>
      <c r="Y638" t="s">
        <v>1306</v>
      </c>
      <c r="Z638" t="s">
        <v>213</v>
      </c>
      <c r="AA638"/>
      <c r="AB638"/>
      <c r="AC638" t="s">
        <v>243</v>
      </c>
      <c r="AD638"/>
    </row>
    <row r="639">
      <c r="A639" t="s">
        <v>30</v>
      </c>
      <c r="B639" t="s">
        <v>254</v>
      </c>
      <c r="C639" t="s">
        <v>1410</v>
      </c>
      <c r="D639" t="s">
        <v>262</v>
      </c>
      <c r="E639" t="s">
        <v>263</v>
      </c>
      <c r="F639" s="2">
        <v>46279</v>
      </c>
      <c r="G639">
        <v>1</v>
      </c>
      <c r="H639" t="s">
        <v>1411</v>
      </c>
      <c r="I639" t="s">
        <v>1412</v>
      </c>
      <c r="J639" t="s">
        <v>601</v>
      </c>
      <c r="K639" t="s">
        <v>491</v>
      </c>
      <c r="L639" t="s">
        <v>1413</v>
      </c>
      <c r="M639">
        <v>1260</v>
      </c>
      <c r="N639">
        <v>1260</v>
      </c>
      <c r="O639" t="s">
        <v>197</v>
      </c>
      <c r="P639">
        <v>6</v>
      </c>
      <c r="Q639">
        <f>N639/P639</f>
      </c>
      <c r="R639" s="1">
        <v>117</v>
      </c>
      <c r="S639" s="1">
        <v>117</v>
      </c>
      <c r="T639">
        <f>IF(R639=S639,"相符","不相符")</f>
      </c>
      <c r="U639"/>
      <c r="V639">
        <f>P639*R639</f>
      </c>
      <c r="W639">
        <f>Q639*V639</f>
      </c>
      <c r="X639">
        <v>1825</v>
      </c>
      <c r="Y639" t="s">
        <v>1407</v>
      </c>
      <c r="Z639" t="s">
        <v>42</v>
      </c>
      <c r="AA639"/>
      <c r="AB639"/>
      <c r="AC639" t="s">
        <v>243</v>
      </c>
      <c r="AD639"/>
    </row>
    <row r="640">
      <c r="A640" t="s">
        <v>30</v>
      </c>
      <c r="B640" t="s">
        <v>254</v>
      </c>
      <c r="C640" t="s">
        <v>1410</v>
      </c>
      <c r="D640" t="s">
        <v>262</v>
      </c>
      <c r="E640" t="s">
        <v>263</v>
      </c>
      <c r="F640" s="2">
        <v>46279</v>
      </c>
      <c r="G640">
        <v>2</v>
      </c>
      <c r="H640" t="s">
        <v>574</v>
      </c>
      <c r="I640" t="s">
        <v>575</v>
      </c>
      <c r="J640" t="s">
        <v>576</v>
      </c>
      <c r="K640" t="s">
        <v>491</v>
      </c>
      <c r="L640" t="s">
        <v>577</v>
      </c>
      <c r="M640">
        <v>36</v>
      </c>
      <c r="N640">
        <v>36</v>
      </c>
      <c r="O640" t="s">
        <v>84</v>
      </c>
      <c r="P640">
        <v>1</v>
      </c>
      <c r="Q640">
        <f>N640/P640</f>
      </c>
      <c r="R640" s="1">
        <v>868</v>
      </c>
      <c r="S640" s="1">
        <v>868</v>
      </c>
      <c r="T640">
        <f>IF(R640=S640,"相符","不相符")</f>
      </c>
      <c r="U640" t="s">
        <v>578</v>
      </c>
      <c r="V640">
        <f>P640*R640</f>
      </c>
      <c r="W640">
        <f>Q640*V640</f>
      </c>
      <c r="X640">
        <v>1825</v>
      </c>
      <c r="Y640" t="s">
        <v>1407</v>
      </c>
      <c r="Z640" t="s">
        <v>42</v>
      </c>
      <c r="AA640"/>
      <c r="AB640"/>
      <c r="AC640" t="s">
        <v>243</v>
      </c>
      <c r="AD640"/>
    </row>
    <row r="641">
      <c r="A641" t="s">
        <v>30</v>
      </c>
      <c r="B641" t="s">
        <v>254</v>
      </c>
      <c r="C641" t="s">
        <v>1410</v>
      </c>
      <c r="D641" t="s">
        <v>262</v>
      </c>
      <c r="E641" t="s">
        <v>263</v>
      </c>
      <c r="F641" s="2">
        <v>46279</v>
      </c>
      <c r="G641">
        <v>3</v>
      </c>
      <c r="H641" t="s">
        <v>599</v>
      </c>
      <c r="I641" t="s">
        <v>600</v>
      </c>
      <c r="J641" t="s">
        <v>601</v>
      </c>
      <c r="K641" t="s">
        <v>491</v>
      </c>
      <c r="L641" t="s">
        <v>602</v>
      </c>
      <c r="M641">
        <v>330</v>
      </c>
      <c r="N641">
        <v>330</v>
      </c>
      <c r="O641" t="s">
        <v>84</v>
      </c>
      <c r="P641">
        <v>1</v>
      </c>
      <c r="Q641">
        <f>N641/P641</f>
      </c>
      <c r="R641" s="1">
        <v>712</v>
      </c>
      <c r="S641" s="1">
        <v>712</v>
      </c>
      <c r="T641">
        <f>IF(R641=S641,"相符","不相符")</f>
      </c>
      <c r="U641" t="s">
        <v>578</v>
      </c>
      <c r="V641">
        <f>P641*R641</f>
      </c>
      <c r="W641">
        <f>Q641*V641</f>
      </c>
      <c r="X641">
        <v>1825</v>
      </c>
      <c r="Y641" t="s">
        <v>1407</v>
      </c>
      <c r="Z641" t="s">
        <v>42</v>
      </c>
      <c r="AA641"/>
      <c r="AB641"/>
      <c r="AC641" t="s">
        <v>243</v>
      </c>
      <c r="AD641"/>
    </row>
    <row r="642">
      <c r="A642" t="s">
        <v>30</v>
      </c>
      <c r="B642" t="s">
        <v>254</v>
      </c>
      <c r="C642" t="s">
        <v>1414</v>
      </c>
      <c r="D642" t="s">
        <v>604</v>
      </c>
      <c r="E642" t="s">
        <v>605</v>
      </c>
      <c r="F642" s="2">
        <v>46272</v>
      </c>
      <c r="G642">
        <v>1</v>
      </c>
      <c r="H642" t="s">
        <v>1411</v>
      </c>
      <c r="I642" t="s">
        <v>1412</v>
      </c>
      <c r="J642" t="s">
        <v>601</v>
      </c>
      <c r="K642" t="s">
        <v>491</v>
      </c>
      <c r="L642" t="s">
        <v>1413</v>
      </c>
      <c r="M642">
        <v>48</v>
      </c>
      <c r="N642">
        <v>48</v>
      </c>
      <c r="O642" t="s">
        <v>197</v>
      </c>
      <c r="P642">
        <v>6</v>
      </c>
      <c r="Q642">
        <f>N642/P642</f>
      </c>
      <c r="R642" s="1">
        <v>117</v>
      </c>
      <c r="S642" s="1">
        <v>117</v>
      </c>
      <c r="T642">
        <f>IF(R642=S642,"相符","不相符")</f>
      </c>
      <c r="U642"/>
      <c r="V642">
        <f>P642*R642</f>
      </c>
      <c r="W642">
        <f>Q642*V642</f>
      </c>
      <c r="X642">
        <v>1825</v>
      </c>
      <c r="Y642" t="s">
        <v>1415</v>
      </c>
      <c r="Z642" t="s">
        <v>42</v>
      </c>
      <c r="AA642"/>
      <c r="AB642"/>
      <c r="AC642" t="s">
        <v>243</v>
      </c>
      <c r="AD642"/>
    </row>
    <row r="643">
      <c r="A643" t="s">
        <v>30</v>
      </c>
      <c r="B643" t="s">
        <v>254</v>
      </c>
      <c r="C643" t="s">
        <v>1416</v>
      </c>
      <c r="D643" t="s">
        <v>604</v>
      </c>
      <c r="E643" t="s">
        <v>605</v>
      </c>
      <c r="F643" s="2">
        <v>46272</v>
      </c>
      <c r="G643">
        <v>1</v>
      </c>
      <c r="H643" t="s">
        <v>1411</v>
      </c>
      <c r="I643" t="s">
        <v>1412</v>
      </c>
      <c r="J643" t="s">
        <v>601</v>
      </c>
      <c r="K643" t="s">
        <v>491</v>
      </c>
      <c r="L643" t="s">
        <v>1413</v>
      </c>
      <c r="M643">
        <v>756</v>
      </c>
      <c r="N643">
        <v>756</v>
      </c>
      <c r="O643" t="s">
        <v>197</v>
      </c>
      <c r="P643">
        <v>6</v>
      </c>
      <c r="Q643">
        <f>N643/P643</f>
      </c>
      <c r="R643" s="1">
        <v>117</v>
      </c>
      <c r="S643" s="1">
        <v>117</v>
      </c>
      <c r="T643">
        <f>IF(R643=S643,"相符","不相符")</f>
      </c>
      <c r="U643"/>
      <c r="V643">
        <f>P643*R643</f>
      </c>
      <c r="W643">
        <f>Q643*V643</f>
      </c>
      <c r="X643">
        <v>1825</v>
      </c>
      <c r="Y643" t="s">
        <v>1415</v>
      </c>
      <c r="Z643" t="s">
        <v>42</v>
      </c>
      <c r="AA643"/>
      <c r="AB643"/>
      <c r="AC643" t="s">
        <v>243</v>
      </c>
      <c r="AD643"/>
    </row>
    <row r="644">
      <c r="A644" t="s">
        <v>30</v>
      </c>
      <c r="B644" t="s">
        <v>189</v>
      </c>
      <c r="C644" t="s">
        <v>1417</v>
      </c>
      <c r="D644" t="s">
        <v>478</v>
      </c>
      <c r="E644" t="s">
        <v>479</v>
      </c>
      <c r="F644" s="2">
        <v>46272</v>
      </c>
      <c r="G644">
        <v>1</v>
      </c>
      <c r="H644" t="s">
        <v>1418</v>
      </c>
      <c r="I644" t="s">
        <v>1419</v>
      </c>
      <c r="J644" t="s">
        <v>1419</v>
      </c>
      <c r="K644" t="s">
        <v>426</v>
      </c>
      <c r="L644" t="s">
        <v>1420</v>
      </c>
      <c r="M644">
        <v>1224</v>
      </c>
      <c r="N644">
        <v>1224</v>
      </c>
      <c r="O644" t="s">
        <v>177</v>
      </c>
      <c r="P644">
        <v>24</v>
      </c>
      <c r="Q644">
        <f>N644/P644</f>
      </c>
      <c r="R644" s="1">
        <v>81</v>
      </c>
      <c r="S644" s="1">
        <v>81</v>
      </c>
      <c r="T644">
        <f>IF(R644=S644,"相符","不相符")</f>
      </c>
      <c r="U644"/>
      <c r="V644">
        <f>P644*R644</f>
      </c>
      <c r="W644">
        <f>Q644*V644</f>
      </c>
      <c r="X644">
        <v>540</v>
      </c>
      <c r="Y644" t="s">
        <v>1421</v>
      </c>
      <c r="Z644" t="s">
        <v>1193</v>
      </c>
      <c r="AA644"/>
      <c r="AB644"/>
      <c r="AC644" t="s">
        <v>49</v>
      </c>
      <c r="AD644"/>
    </row>
    <row r="645">
      <c r="A645" t="s">
        <v>30</v>
      </c>
      <c r="B645" t="s">
        <v>189</v>
      </c>
      <c r="C645" t="s">
        <v>1417</v>
      </c>
      <c r="D645" t="s">
        <v>478</v>
      </c>
      <c r="E645" t="s">
        <v>479</v>
      </c>
      <c r="F645" s="2">
        <v>46272</v>
      </c>
      <c r="G645">
        <v>2</v>
      </c>
      <c r="H645" t="s">
        <v>777</v>
      </c>
      <c r="I645" t="s">
        <v>778</v>
      </c>
      <c r="J645" t="s">
        <v>778</v>
      </c>
      <c r="K645" t="s">
        <v>426</v>
      </c>
      <c r="L645" t="s">
        <v>779</v>
      </c>
      <c r="M645">
        <v>2400</v>
      </c>
      <c r="N645">
        <v>2400</v>
      </c>
      <c r="O645" t="s">
        <v>177</v>
      </c>
      <c r="P645">
        <v>24</v>
      </c>
      <c r="Q645">
        <f>N645/P645</f>
      </c>
      <c r="R645" s="1">
        <v>81</v>
      </c>
      <c r="S645" s="1">
        <v>81</v>
      </c>
      <c r="T645">
        <f>IF(R645=S645,"相符","不相符")</f>
      </c>
      <c r="U645"/>
      <c r="V645">
        <f>P645*R645</f>
      </c>
      <c r="W645">
        <f>Q645*V645</f>
      </c>
      <c r="X645">
        <v>540</v>
      </c>
      <c r="Y645" t="s">
        <v>1422</v>
      </c>
      <c r="Z645" t="s">
        <v>1193</v>
      </c>
      <c r="AA645"/>
      <c r="AB645"/>
      <c r="AC645" t="s">
        <v>49</v>
      </c>
      <c r="AD645"/>
    </row>
    <row r="646">
      <c r="A646" t="s">
        <v>30</v>
      </c>
      <c r="B646" t="s">
        <v>189</v>
      </c>
      <c r="C646" t="s">
        <v>1417</v>
      </c>
      <c r="D646" t="s">
        <v>478</v>
      </c>
      <c r="E646" t="s">
        <v>479</v>
      </c>
      <c r="F646" s="2">
        <v>46272</v>
      </c>
      <c r="G646">
        <v>3</v>
      </c>
      <c r="H646" t="s">
        <v>1423</v>
      </c>
      <c r="I646" t="s">
        <v>1424</v>
      </c>
      <c r="J646" t="s">
        <v>1424</v>
      </c>
      <c r="K646" t="s">
        <v>426</v>
      </c>
      <c r="L646" t="s">
        <v>1425</v>
      </c>
      <c r="M646">
        <v>1200</v>
      </c>
      <c r="N646">
        <v>1200</v>
      </c>
      <c r="O646" t="s">
        <v>435</v>
      </c>
      <c r="P646">
        <v>12</v>
      </c>
      <c r="Q646">
        <f>N646/P646</f>
      </c>
      <c r="R646" s="1">
        <v>197</v>
      </c>
      <c r="S646" s="1">
        <v>197</v>
      </c>
      <c r="T646">
        <f>IF(R646=S646,"相符","不相符")</f>
      </c>
      <c r="U646"/>
      <c r="V646">
        <f>P646*R646</f>
      </c>
      <c r="W646">
        <f>Q646*V646</f>
      </c>
      <c r="X646">
        <v>730</v>
      </c>
      <c r="Y646" t="s">
        <v>1426</v>
      </c>
      <c r="Z646" t="s">
        <v>1193</v>
      </c>
      <c r="AA646"/>
      <c r="AB646"/>
      <c r="AC646" t="s">
        <v>49</v>
      </c>
      <c r="AD646"/>
    </row>
    <row r="647">
      <c r="A647" t="s">
        <v>30</v>
      </c>
      <c r="B647" t="s">
        <v>189</v>
      </c>
      <c r="C647" t="s">
        <v>1417</v>
      </c>
      <c r="D647" t="s">
        <v>478</v>
      </c>
      <c r="E647" t="s">
        <v>479</v>
      </c>
      <c r="F647" s="2">
        <v>46272</v>
      </c>
      <c r="G647">
        <v>4</v>
      </c>
      <c r="H647" t="s">
        <v>781</v>
      </c>
      <c r="I647" t="s">
        <v>782</v>
      </c>
      <c r="J647" t="s">
        <v>782</v>
      </c>
      <c r="K647" t="s">
        <v>639</v>
      </c>
      <c r="L647" t="s">
        <v>783</v>
      </c>
      <c r="M647">
        <v>4200</v>
      </c>
      <c r="N647">
        <v>4200</v>
      </c>
      <c r="O647" t="s">
        <v>177</v>
      </c>
      <c r="P647">
        <v>6</v>
      </c>
      <c r="Q647">
        <f>N647/P647</f>
      </c>
      <c r="R647" s="1">
        <v>193</v>
      </c>
      <c r="S647" s="1">
        <v>193</v>
      </c>
      <c r="T647">
        <f>IF(R647=S647,"相符","不相符")</f>
      </c>
      <c r="U647"/>
      <c r="V647">
        <f>P647*R647</f>
      </c>
      <c r="W647">
        <f>Q647*V647</f>
      </c>
      <c r="X647">
        <v>730</v>
      </c>
      <c r="Y647" t="s">
        <v>1427</v>
      </c>
      <c r="Z647" t="s">
        <v>1193</v>
      </c>
      <c r="AA647"/>
      <c r="AB647"/>
      <c r="AC647" t="s">
        <v>49</v>
      </c>
      <c r="AD647"/>
    </row>
    <row r="648">
      <c r="A648" t="s">
        <v>30</v>
      </c>
      <c r="B648" t="s">
        <v>189</v>
      </c>
      <c r="C648" t="s">
        <v>1428</v>
      </c>
      <c r="D648" t="s">
        <v>262</v>
      </c>
      <c r="E648" t="s">
        <v>263</v>
      </c>
      <c r="F648" s="2">
        <v>46272</v>
      </c>
      <c r="G648">
        <v>1</v>
      </c>
      <c r="H648" t="s">
        <v>1065</v>
      </c>
      <c r="I648" t="s">
        <v>1066</v>
      </c>
      <c r="J648" t="s">
        <v>461</v>
      </c>
      <c r="K648" t="s">
        <v>419</v>
      </c>
      <c r="L648" t="s">
        <v>1067</v>
      </c>
      <c r="M648">
        <v>427</v>
      </c>
      <c r="N648">
        <v>427</v>
      </c>
      <c r="O648" t="s">
        <v>84</v>
      </c>
      <c r="P648">
        <v>1</v>
      </c>
      <c r="Q648">
        <f>N648/P648</f>
      </c>
      <c r="R648" s="1">
        <v>1175</v>
      </c>
      <c r="S648" s="1">
        <v>1175</v>
      </c>
      <c r="T648">
        <f>IF(R648=S648,"相符","不相符")</f>
      </c>
      <c r="U648"/>
      <c r="V648">
        <f>P648*R648</f>
      </c>
      <c r="W648">
        <f>Q648*V648</f>
      </c>
      <c r="X648">
        <v>1095</v>
      </c>
      <c r="Y648" t="s">
        <v>1429</v>
      </c>
      <c r="Z648" t="s">
        <v>1063</v>
      </c>
      <c r="AA648"/>
      <c r="AB648"/>
      <c r="AC648" t="s">
        <v>49</v>
      </c>
      <c r="AD648"/>
    </row>
    <row r="649">
      <c r="A649" t="s">
        <v>30</v>
      </c>
      <c r="B649" t="s">
        <v>189</v>
      </c>
      <c r="C649" t="s">
        <v>1428</v>
      </c>
      <c r="D649" t="s">
        <v>262</v>
      </c>
      <c r="E649" t="s">
        <v>263</v>
      </c>
      <c r="F649" s="2">
        <v>46272</v>
      </c>
      <c r="G649">
        <v>2</v>
      </c>
      <c r="H649" t="s">
        <v>1068</v>
      </c>
      <c r="I649" t="s">
        <v>1069</v>
      </c>
      <c r="J649" t="s">
        <v>666</v>
      </c>
      <c r="K649" t="s">
        <v>419</v>
      </c>
      <c r="L649" t="s">
        <v>1070</v>
      </c>
      <c r="M649">
        <v>130</v>
      </c>
      <c r="N649">
        <v>130</v>
      </c>
      <c r="O649" t="s">
        <v>84</v>
      </c>
      <c r="P649">
        <v>1</v>
      </c>
      <c r="Q649">
        <f>N649/P649</f>
      </c>
      <c r="R649" s="1">
        <v>1175</v>
      </c>
      <c r="S649" s="1">
        <v>1175</v>
      </c>
      <c r="T649">
        <f>IF(R649=S649,"相符","不相符")</f>
      </c>
      <c r="U649"/>
      <c r="V649">
        <f>P649*R649</f>
      </c>
      <c r="W649">
        <f>Q649*V649</f>
      </c>
      <c r="X649">
        <v>1095</v>
      </c>
      <c r="Y649" t="s">
        <v>1429</v>
      </c>
      <c r="Z649" t="s">
        <v>1063</v>
      </c>
      <c r="AA649"/>
      <c r="AB649"/>
      <c r="AC649" t="s">
        <v>49</v>
      </c>
      <c r="AD649"/>
    </row>
    <row r="650">
      <c r="A650" t="s">
        <v>30</v>
      </c>
      <c r="B650" t="s">
        <v>189</v>
      </c>
      <c r="C650" t="s">
        <v>1428</v>
      </c>
      <c r="D650" t="s">
        <v>262</v>
      </c>
      <c r="E650" t="s">
        <v>263</v>
      </c>
      <c r="F650" s="2">
        <v>46272</v>
      </c>
      <c r="G650">
        <v>3</v>
      </c>
      <c r="H650" t="s">
        <v>1074</v>
      </c>
      <c r="I650" t="s">
        <v>1075</v>
      </c>
      <c r="J650" t="s">
        <v>649</v>
      </c>
      <c r="K650" t="s">
        <v>419</v>
      </c>
      <c r="L650" t="s">
        <v>1076</v>
      </c>
      <c r="M650">
        <v>162</v>
      </c>
      <c r="N650">
        <v>162</v>
      </c>
      <c r="O650" t="s">
        <v>84</v>
      </c>
      <c r="P650">
        <v>1</v>
      </c>
      <c r="Q650">
        <f>N650/P650</f>
      </c>
      <c r="R650" s="1">
        <v>1175</v>
      </c>
      <c r="S650" s="1">
        <v>1175</v>
      </c>
      <c r="T650">
        <f>IF(R650=S650,"相符","不相符")</f>
      </c>
      <c r="U650"/>
      <c r="V650">
        <f>P650*R650</f>
      </c>
      <c r="W650">
        <f>Q650*V650</f>
      </c>
      <c r="X650">
        <v>1095</v>
      </c>
      <c r="Y650" t="s">
        <v>1429</v>
      </c>
      <c r="Z650" t="s">
        <v>1063</v>
      </c>
      <c r="AA650"/>
      <c r="AB650"/>
      <c r="AC650" t="s">
        <v>49</v>
      </c>
      <c r="AD650"/>
    </row>
    <row r="651">
      <c r="A651" t="s">
        <v>30</v>
      </c>
      <c r="B651" t="s">
        <v>254</v>
      </c>
      <c r="C651" t="s">
        <v>1430</v>
      </c>
      <c r="D651" t="s">
        <v>604</v>
      </c>
      <c r="E651" t="s">
        <v>605</v>
      </c>
      <c r="F651" s="2">
        <v>46272</v>
      </c>
      <c r="G651">
        <v>1</v>
      </c>
      <c r="H651" t="s">
        <v>833</v>
      </c>
      <c r="I651" t="s">
        <v>834</v>
      </c>
      <c r="J651" t="s">
        <v>835</v>
      </c>
      <c r="K651" t="s">
        <v>258</v>
      </c>
      <c r="L651" t="s">
        <v>836</v>
      </c>
      <c r="M651">
        <v>550</v>
      </c>
      <c r="N651">
        <v>550</v>
      </c>
      <c r="O651" t="s">
        <v>84</v>
      </c>
      <c r="P651">
        <v>1</v>
      </c>
      <c r="Q651">
        <f>N651/P651</f>
      </c>
      <c r="R651" s="1">
        <v>642</v>
      </c>
      <c r="S651" s="1">
        <v>642</v>
      </c>
      <c r="T651">
        <f>IF(R651=S651,"相符","不相符")</f>
      </c>
      <c r="U651" t="s">
        <v>837</v>
      </c>
      <c r="V651">
        <f>P651*R651</f>
      </c>
      <c r="W651">
        <f>Q651*V651</f>
      </c>
      <c r="X651">
        <v>1825</v>
      </c>
      <c r="Y651" t="s">
        <v>1415</v>
      </c>
      <c r="Z651" t="s">
        <v>607</v>
      </c>
      <c r="AA651"/>
      <c r="AB651"/>
      <c r="AC651" t="s">
        <v>243</v>
      </c>
      <c r="AD651"/>
    </row>
    <row r="652">
      <c r="A652" t="s">
        <v>30</v>
      </c>
      <c r="B652" t="s">
        <v>189</v>
      </c>
      <c r="C652" t="s">
        <v>1431</v>
      </c>
      <c r="D652" t="s">
        <v>262</v>
      </c>
      <c r="E652" t="s">
        <v>263</v>
      </c>
      <c r="F652" s="2">
        <v>46272</v>
      </c>
      <c r="G652">
        <v>1</v>
      </c>
      <c r="H652" t="s">
        <v>1065</v>
      </c>
      <c r="I652" t="s">
        <v>1066</v>
      </c>
      <c r="J652" t="s">
        <v>461</v>
      </c>
      <c r="K652" t="s">
        <v>419</v>
      </c>
      <c r="L652" t="s">
        <v>1067</v>
      </c>
      <c r="M652">
        <v>2479</v>
      </c>
      <c r="N652">
        <v>2479</v>
      </c>
      <c r="O652" t="s">
        <v>84</v>
      </c>
      <c r="P652">
        <v>1</v>
      </c>
      <c r="Q652">
        <f>N652/P652</f>
      </c>
      <c r="R652" s="1">
        <v>1175</v>
      </c>
      <c r="S652" s="1">
        <v>1175</v>
      </c>
      <c r="T652">
        <f>IF(R652=S652,"相符","不相符")</f>
      </c>
      <c r="U652"/>
      <c r="V652">
        <f>P652*R652</f>
      </c>
      <c r="W652">
        <f>Q652*V652</f>
      </c>
      <c r="X652">
        <v>1095</v>
      </c>
      <c r="Y652" t="s">
        <v>1429</v>
      </c>
      <c r="Z652" t="s">
        <v>1432</v>
      </c>
      <c r="AA652"/>
      <c r="AB652"/>
      <c r="AC652" t="s">
        <v>49</v>
      </c>
      <c r="AD652"/>
    </row>
    <row r="653">
      <c r="A653" t="s">
        <v>30</v>
      </c>
      <c r="B653" t="s">
        <v>189</v>
      </c>
      <c r="C653" t="s">
        <v>1431</v>
      </c>
      <c r="D653" t="s">
        <v>262</v>
      </c>
      <c r="E653" t="s">
        <v>263</v>
      </c>
      <c r="F653" s="2">
        <v>46272</v>
      </c>
      <c r="G653">
        <v>2</v>
      </c>
      <c r="H653" t="s">
        <v>1068</v>
      </c>
      <c r="I653" t="s">
        <v>1069</v>
      </c>
      <c r="J653" t="s">
        <v>666</v>
      </c>
      <c r="K653" t="s">
        <v>419</v>
      </c>
      <c r="L653" t="s">
        <v>1070</v>
      </c>
      <c r="M653">
        <v>78</v>
      </c>
      <c r="N653">
        <v>78</v>
      </c>
      <c r="O653" t="s">
        <v>84</v>
      </c>
      <c r="P653">
        <v>1</v>
      </c>
      <c r="Q653">
        <f>N653/P653</f>
      </c>
      <c r="R653" s="1">
        <v>1175</v>
      </c>
      <c r="S653" s="1">
        <v>1175</v>
      </c>
      <c r="T653">
        <f>IF(R653=S653,"相符","不相符")</f>
      </c>
      <c r="U653"/>
      <c r="V653">
        <f>P653*R653</f>
      </c>
      <c r="W653">
        <f>Q653*V653</f>
      </c>
      <c r="X653">
        <v>1095</v>
      </c>
      <c r="Y653" t="s">
        <v>1429</v>
      </c>
      <c r="Z653" t="s">
        <v>1432</v>
      </c>
      <c r="AA653"/>
      <c r="AB653"/>
      <c r="AC653" t="s">
        <v>49</v>
      </c>
      <c r="AD653"/>
    </row>
    <row r="654">
      <c r="A654" t="s">
        <v>30</v>
      </c>
      <c r="B654" t="s">
        <v>189</v>
      </c>
      <c r="C654" t="s">
        <v>1431</v>
      </c>
      <c r="D654" t="s">
        <v>262</v>
      </c>
      <c r="E654" t="s">
        <v>263</v>
      </c>
      <c r="F654" s="2">
        <v>46272</v>
      </c>
      <c r="G654">
        <v>3</v>
      </c>
      <c r="H654" t="s">
        <v>1074</v>
      </c>
      <c r="I654" t="s">
        <v>1075</v>
      </c>
      <c r="J654" t="s">
        <v>649</v>
      </c>
      <c r="K654" t="s">
        <v>419</v>
      </c>
      <c r="L654" t="s">
        <v>1076</v>
      </c>
      <c r="M654">
        <v>351</v>
      </c>
      <c r="N654">
        <v>351</v>
      </c>
      <c r="O654" t="s">
        <v>84</v>
      </c>
      <c r="P654">
        <v>1</v>
      </c>
      <c r="Q654">
        <f>N654/P654</f>
      </c>
      <c r="R654" s="1">
        <v>1175</v>
      </c>
      <c r="S654" s="1">
        <v>1175</v>
      </c>
      <c r="T654">
        <f>IF(R654=S654,"相符","不相符")</f>
      </c>
      <c r="U654"/>
      <c r="V654">
        <f>P654*R654</f>
      </c>
      <c r="W654">
        <f>Q654*V654</f>
      </c>
      <c r="X654">
        <v>1095</v>
      </c>
      <c r="Y654" t="s">
        <v>1429</v>
      </c>
      <c r="Z654" t="s">
        <v>1432</v>
      </c>
      <c r="AA654"/>
      <c r="AB654"/>
      <c r="AC654" t="s">
        <v>49</v>
      </c>
      <c r="AD654"/>
    </row>
    <row r="655">
      <c r="A655" t="s">
        <v>30</v>
      </c>
      <c r="B655" t="s">
        <v>189</v>
      </c>
      <c r="C655" t="s">
        <v>1431</v>
      </c>
      <c r="D655" t="s">
        <v>262</v>
      </c>
      <c r="E655" t="s">
        <v>263</v>
      </c>
      <c r="F655" s="2">
        <v>46272</v>
      </c>
      <c r="G655">
        <v>4</v>
      </c>
      <c r="H655" t="s">
        <v>1178</v>
      </c>
      <c r="I655" t="s">
        <v>1179</v>
      </c>
      <c r="J655" t="s">
        <v>1180</v>
      </c>
      <c r="K655" t="s">
        <v>419</v>
      </c>
      <c r="L655" t="s">
        <v>1181</v>
      </c>
      <c r="M655">
        <v>468</v>
      </c>
      <c r="N655">
        <v>468</v>
      </c>
      <c r="O655" t="s">
        <v>84</v>
      </c>
      <c r="P655">
        <v>1</v>
      </c>
      <c r="Q655">
        <f>N655/P655</f>
      </c>
      <c r="R655" s="1">
        <v>1175</v>
      </c>
      <c r="S655" s="1">
        <v>1175</v>
      </c>
      <c r="T655">
        <f>IF(R655=S655,"相符","不相符")</f>
      </c>
      <c r="U655"/>
      <c r="V655">
        <f>P655*R655</f>
      </c>
      <c r="W655">
        <f>Q655*V655</f>
      </c>
      <c r="X655">
        <v>1095</v>
      </c>
      <c r="Y655" t="s">
        <v>1429</v>
      </c>
      <c r="Z655" t="s">
        <v>1432</v>
      </c>
      <c r="AA655"/>
      <c r="AB655"/>
      <c r="AC655" t="s">
        <v>49</v>
      </c>
      <c r="AD655"/>
    </row>
    <row r="656">
      <c r="A656" t="s">
        <v>30</v>
      </c>
      <c r="B656" t="s">
        <v>189</v>
      </c>
      <c r="C656" t="s">
        <v>1431</v>
      </c>
      <c r="D656" t="s">
        <v>262</v>
      </c>
      <c r="E656" t="s">
        <v>263</v>
      </c>
      <c r="F656" s="2">
        <v>46272</v>
      </c>
      <c r="G656">
        <v>5</v>
      </c>
      <c r="H656" t="s">
        <v>632</v>
      </c>
      <c r="I656" t="s">
        <v>633</v>
      </c>
      <c r="J656" t="s">
        <v>634</v>
      </c>
      <c r="K656" t="s">
        <v>419</v>
      </c>
      <c r="L656" t="s">
        <v>635</v>
      </c>
      <c r="M656">
        <v>792</v>
      </c>
      <c r="N656">
        <v>39</v>
      </c>
      <c r="O656" t="s">
        <v>84</v>
      </c>
      <c r="P656">
        <v>1</v>
      </c>
      <c r="Q656">
        <f>N656/P656</f>
      </c>
      <c r="R656" s="1">
        <v>1231</v>
      </c>
      <c r="S656" s="1">
        <v>1231</v>
      </c>
      <c r="T656">
        <f>IF(R656=S656,"相符","不相符")</f>
      </c>
      <c r="U656"/>
      <c r="V656">
        <f>P656*R656</f>
      </c>
      <c r="W656">
        <f>Q656*V656</f>
      </c>
      <c r="X656">
        <v>1095</v>
      </c>
      <c r="Y656" t="s">
        <v>1429</v>
      </c>
      <c r="Z656" t="s">
        <v>1432</v>
      </c>
      <c r="AA656"/>
      <c r="AB656"/>
      <c r="AC656" t="s">
        <v>49</v>
      </c>
      <c r="AD656"/>
    </row>
    <row r="657">
      <c r="A657" t="s">
        <v>30</v>
      </c>
      <c r="B657" t="s">
        <v>189</v>
      </c>
      <c r="C657" t="s">
        <v>1431</v>
      </c>
      <c r="D657" t="s">
        <v>262</v>
      </c>
      <c r="E657" t="s">
        <v>263</v>
      </c>
      <c r="F657" s="2">
        <v>46272</v>
      </c>
      <c r="G657">
        <v>6</v>
      </c>
      <c r="H657" t="s">
        <v>1217</v>
      </c>
      <c r="I657" t="s">
        <v>1218</v>
      </c>
      <c r="J657" t="s">
        <v>1218</v>
      </c>
      <c r="K657" t="s">
        <v>195</v>
      </c>
      <c r="L657" t="s">
        <v>1219</v>
      </c>
      <c r="M657">
        <v>80</v>
      </c>
      <c r="N657">
        <v>80</v>
      </c>
      <c r="O657" t="s">
        <v>683</v>
      </c>
      <c r="P657">
        <v>1</v>
      </c>
      <c r="Q657">
        <f>N657/P657</f>
      </c>
      <c r="R657" s="1">
        <v>465</v>
      </c>
      <c r="S657" s="1">
        <v>465</v>
      </c>
      <c r="T657">
        <f>IF(R657=S657,"相符","不相符")</f>
      </c>
      <c r="U657"/>
      <c r="V657">
        <f>P657*R657</f>
      </c>
      <c r="W657">
        <f>Q657*V657</f>
      </c>
      <c r="X657">
        <v>1095</v>
      </c>
      <c r="Y657" t="s">
        <v>1429</v>
      </c>
      <c r="Z657" t="s">
        <v>1432</v>
      </c>
      <c r="AA657"/>
      <c r="AB657"/>
      <c r="AC657" t="s">
        <v>49</v>
      </c>
      <c r="AD657"/>
    </row>
    <row r="658">
      <c r="A658" t="s">
        <v>30</v>
      </c>
      <c r="B658" t="s">
        <v>189</v>
      </c>
      <c r="C658" t="s">
        <v>1431</v>
      </c>
      <c r="D658" t="s">
        <v>262</v>
      </c>
      <c r="E658" t="s">
        <v>263</v>
      </c>
      <c r="F658" s="2">
        <v>46272</v>
      </c>
      <c r="G658">
        <v>7</v>
      </c>
      <c r="H658" t="s">
        <v>1433</v>
      </c>
      <c r="I658" t="s">
        <v>1434</v>
      </c>
      <c r="J658" t="s">
        <v>1434</v>
      </c>
      <c r="K658" t="s">
        <v>195</v>
      </c>
      <c r="L658" t="s">
        <v>1435</v>
      </c>
      <c r="M658">
        <v>330</v>
      </c>
      <c r="N658">
        <v>330</v>
      </c>
      <c r="O658" t="s">
        <v>683</v>
      </c>
      <c r="P658">
        <v>1</v>
      </c>
      <c r="Q658">
        <f>N658/P658</f>
      </c>
      <c r="R658" s="1">
        <v>495</v>
      </c>
      <c r="S658" s="1">
        <v>495</v>
      </c>
      <c r="T658">
        <f>IF(R658=S658,"相符","不相符")</f>
      </c>
      <c r="U658"/>
      <c r="V658">
        <f>P658*R658</f>
      </c>
      <c r="W658">
        <f>Q658*V658</f>
      </c>
      <c r="X658">
        <v>1095</v>
      </c>
      <c r="Y658" t="s">
        <v>1429</v>
      </c>
      <c r="Z658" t="s">
        <v>1432</v>
      </c>
      <c r="AA658"/>
      <c r="AB658"/>
      <c r="AC658" t="s">
        <v>49</v>
      </c>
      <c r="AD658"/>
    </row>
    <row r="659">
      <c r="A659" t="s">
        <v>30</v>
      </c>
      <c r="B659" t="s">
        <v>254</v>
      </c>
      <c r="C659" t="s">
        <v>1436</v>
      </c>
      <c r="D659" t="s">
        <v>33</v>
      </c>
      <c r="E659" t="s">
        <v>34</v>
      </c>
      <c r="F659" s="2">
        <v>46272</v>
      </c>
      <c r="G659">
        <v>1</v>
      </c>
      <c r="H659" t="s">
        <v>272</v>
      </c>
      <c r="I659" t="s">
        <v>273</v>
      </c>
      <c r="J659" t="s">
        <v>274</v>
      </c>
      <c r="K659" t="s">
        <v>258</v>
      </c>
      <c r="L659" t="s">
        <v>275</v>
      </c>
      <c r="M659">
        <v>1800</v>
      </c>
      <c r="N659">
        <v>1800</v>
      </c>
      <c r="O659" t="s">
        <v>197</v>
      </c>
      <c r="P659">
        <v>8</v>
      </c>
      <c r="Q659">
        <f>N659/P659</f>
      </c>
      <c r="R659" s="1">
        <v>65</v>
      </c>
      <c r="S659" s="1">
        <v>65</v>
      </c>
      <c r="T659">
        <f>IF(R659=S659,"相符","不相符")</f>
      </c>
      <c r="U659" t="s">
        <v>276</v>
      </c>
      <c r="V659">
        <f>P659*R659</f>
      </c>
      <c r="W659">
        <f>Q659*V659</f>
      </c>
      <c r="X659">
        <v>1825</v>
      </c>
      <c r="Y659" t="s">
        <v>1415</v>
      </c>
      <c r="Z659" t="s">
        <v>1437</v>
      </c>
      <c r="AA659"/>
      <c r="AB659"/>
      <c r="AC659" t="s">
        <v>243</v>
      </c>
      <c r="AD659"/>
    </row>
    <row r="660">
      <c r="A660" t="s">
        <v>30</v>
      </c>
      <c r="B660" t="s">
        <v>233</v>
      </c>
      <c r="C660" t="s">
        <v>1436</v>
      </c>
      <c r="D660" t="s">
        <v>33</v>
      </c>
      <c r="E660" t="s">
        <v>34</v>
      </c>
      <c r="F660" s="2">
        <v>46272</v>
      </c>
      <c r="G660">
        <v>2</v>
      </c>
      <c r="H660" t="s">
        <v>1384</v>
      </c>
      <c r="I660" t="s">
        <v>1385</v>
      </c>
      <c r="J660" t="s">
        <v>1386</v>
      </c>
      <c r="K660" t="s">
        <v>238</v>
      </c>
      <c r="L660" t="s">
        <v>1387</v>
      </c>
      <c r="M660">
        <v>228</v>
      </c>
      <c r="N660">
        <v>228</v>
      </c>
      <c r="O660" t="s">
        <v>240</v>
      </c>
      <c r="P660">
        <v>12</v>
      </c>
      <c r="Q660">
        <f>N660/P660</f>
      </c>
      <c r="R660" s="1">
        <v>73</v>
      </c>
      <c r="S660" s="1">
        <v>73</v>
      </c>
      <c r="T660">
        <f>IF(R660=S660,"相符","不相符")</f>
      </c>
      <c r="U660"/>
      <c r="V660">
        <f>P660*R660</f>
      </c>
      <c r="W660">
        <f>Q660*V660</f>
      </c>
      <c r="X660">
        <v>1095</v>
      </c>
      <c r="Y660" t="s">
        <v>1422</v>
      </c>
      <c r="Z660" t="s">
        <v>1437</v>
      </c>
      <c r="AA660"/>
      <c r="AB660"/>
      <c r="AC660" t="s">
        <v>243</v>
      </c>
      <c r="AD660"/>
    </row>
    <row r="661">
      <c r="A661" t="s">
        <v>30</v>
      </c>
      <c r="B661" t="s">
        <v>233</v>
      </c>
      <c r="C661" t="s">
        <v>1436</v>
      </c>
      <c r="D661" t="s">
        <v>33</v>
      </c>
      <c r="E661" t="s">
        <v>34</v>
      </c>
      <c r="F661" s="2">
        <v>46272</v>
      </c>
      <c r="G661">
        <v>3</v>
      </c>
      <c r="H661" t="s">
        <v>278</v>
      </c>
      <c r="I661" t="s">
        <v>279</v>
      </c>
      <c r="J661" t="s">
        <v>280</v>
      </c>
      <c r="K661" t="s">
        <v>238</v>
      </c>
      <c r="L661" t="s">
        <v>281</v>
      </c>
      <c r="M661">
        <v>384</v>
      </c>
      <c r="N661">
        <v>384</v>
      </c>
      <c r="O661" t="s">
        <v>177</v>
      </c>
      <c r="P661">
        <v>12</v>
      </c>
      <c r="Q661">
        <f>N661/P661</f>
      </c>
      <c r="R661" s="1">
        <v>74</v>
      </c>
      <c r="S661" s="1">
        <v>74</v>
      </c>
      <c r="T661">
        <f>IF(R661=S661,"相符","不相符")</f>
      </c>
      <c r="U661"/>
      <c r="V661">
        <f>P661*R661</f>
      </c>
      <c r="W661">
        <f>Q661*V661</f>
      </c>
      <c r="X661">
        <v>1095</v>
      </c>
      <c r="Y661" t="s">
        <v>1422</v>
      </c>
      <c r="Z661" t="s">
        <v>1437</v>
      </c>
      <c r="AA661"/>
      <c r="AB661"/>
      <c r="AC661" t="s">
        <v>243</v>
      </c>
      <c r="AD661"/>
    </row>
    <row r="662">
      <c r="A662" t="s">
        <v>30</v>
      </c>
      <c r="B662" t="s">
        <v>233</v>
      </c>
      <c r="C662" t="s">
        <v>1436</v>
      </c>
      <c r="D662" t="s">
        <v>33</v>
      </c>
      <c r="E662" t="s">
        <v>34</v>
      </c>
      <c r="F662" s="2">
        <v>46272</v>
      </c>
      <c r="G662">
        <v>4</v>
      </c>
      <c r="H662" t="s">
        <v>1125</v>
      </c>
      <c r="I662" t="s">
        <v>1126</v>
      </c>
      <c r="J662" t="s">
        <v>1127</v>
      </c>
      <c r="K662" t="s">
        <v>238</v>
      </c>
      <c r="L662" t="s">
        <v>1128</v>
      </c>
      <c r="M662">
        <v>156</v>
      </c>
      <c r="N662">
        <v>156</v>
      </c>
      <c r="O662" t="s">
        <v>40</v>
      </c>
      <c r="P662">
        <v>6</v>
      </c>
      <c r="Q662">
        <f>N662/P662</f>
      </c>
      <c r="R662" s="1">
        <v>115</v>
      </c>
      <c r="S662" s="1">
        <v>115</v>
      </c>
      <c r="T662">
        <f>IF(R662=S662,"相符","不相符")</f>
      </c>
      <c r="U662"/>
      <c r="V662">
        <f>P662*R662</f>
      </c>
      <c r="W662">
        <f>Q662*V662</f>
      </c>
      <c r="X662">
        <v>540</v>
      </c>
      <c r="Y662" t="s">
        <v>1421</v>
      </c>
      <c r="Z662" t="s">
        <v>1437</v>
      </c>
      <c r="AA662"/>
      <c r="AB662"/>
      <c r="AC662" t="s">
        <v>243</v>
      </c>
      <c r="AD662"/>
    </row>
    <row r="663">
      <c r="A663" t="s">
        <v>30</v>
      </c>
      <c r="B663" t="s">
        <v>254</v>
      </c>
      <c r="C663" t="s">
        <v>1438</v>
      </c>
      <c r="D663" t="s">
        <v>33</v>
      </c>
      <c r="E663" t="s">
        <v>34</v>
      </c>
      <c r="F663" s="2">
        <v>46272</v>
      </c>
      <c r="G663">
        <v>1</v>
      </c>
      <c r="H663" t="s">
        <v>272</v>
      </c>
      <c r="I663" t="s">
        <v>273</v>
      </c>
      <c r="J663" t="s">
        <v>274</v>
      </c>
      <c r="K663" t="s">
        <v>258</v>
      </c>
      <c r="L663" t="s">
        <v>275</v>
      </c>
      <c r="M663">
        <v>792</v>
      </c>
      <c r="N663">
        <v>792</v>
      </c>
      <c r="O663" t="s">
        <v>197</v>
      </c>
      <c r="P663">
        <v>8</v>
      </c>
      <c r="Q663">
        <f>N663/P663</f>
      </c>
      <c r="R663" s="1">
        <v>65</v>
      </c>
      <c r="S663" s="1">
        <v>65</v>
      </c>
      <c r="T663">
        <f>IF(R663=S663,"相符","不相符")</f>
      </c>
      <c r="U663" t="s">
        <v>276</v>
      </c>
      <c r="V663">
        <f>P663*R663</f>
      </c>
      <c r="W663">
        <f>Q663*V663</f>
      </c>
      <c r="X663">
        <v>1825</v>
      </c>
      <c r="Y663" t="s">
        <v>1415</v>
      </c>
      <c r="Z663" t="s">
        <v>242</v>
      </c>
      <c r="AA663"/>
      <c r="AB663"/>
      <c r="AC663" t="s">
        <v>243</v>
      </c>
      <c r="AD663"/>
    </row>
    <row r="664">
      <c r="A664" t="s">
        <v>30</v>
      </c>
      <c r="B664" t="s">
        <v>233</v>
      </c>
      <c r="C664" t="s">
        <v>1438</v>
      </c>
      <c r="D664" t="s">
        <v>33</v>
      </c>
      <c r="E664" t="s">
        <v>34</v>
      </c>
      <c r="F664" s="2">
        <v>46272</v>
      </c>
      <c r="G664">
        <v>2</v>
      </c>
      <c r="H664" t="s">
        <v>278</v>
      </c>
      <c r="I664" t="s">
        <v>279</v>
      </c>
      <c r="J664" t="s">
        <v>280</v>
      </c>
      <c r="K664" t="s">
        <v>238</v>
      </c>
      <c r="L664" t="s">
        <v>281</v>
      </c>
      <c r="M664">
        <v>660</v>
      </c>
      <c r="N664">
        <v>660</v>
      </c>
      <c r="O664" t="s">
        <v>177</v>
      </c>
      <c r="P664">
        <v>12</v>
      </c>
      <c r="Q664">
        <f>N664/P664</f>
      </c>
      <c r="R664" s="1">
        <v>74</v>
      </c>
      <c r="S664" s="1">
        <v>74</v>
      </c>
      <c r="T664">
        <f>IF(R664=S664,"相符","不相符")</f>
      </c>
      <c r="U664"/>
      <c r="V664">
        <f>P664*R664</f>
      </c>
      <c r="W664">
        <f>Q664*V664</f>
      </c>
      <c r="X664">
        <v>1095</v>
      </c>
      <c r="Y664" t="s">
        <v>1422</v>
      </c>
      <c r="Z664" t="s">
        <v>242</v>
      </c>
      <c r="AA664"/>
      <c r="AB664"/>
      <c r="AC664" t="s">
        <v>243</v>
      </c>
      <c r="AD664"/>
    </row>
    <row r="665">
      <c r="A665" t="s">
        <v>30</v>
      </c>
      <c r="B665" t="s">
        <v>31</v>
      </c>
      <c r="C665" t="s">
        <v>1439</v>
      </c>
      <c r="D665" t="s">
        <v>567</v>
      </c>
      <c r="E665" t="s">
        <v>568</v>
      </c>
      <c r="F665" s="2">
        <v>46281</v>
      </c>
      <c r="G665">
        <v>1</v>
      </c>
      <c r="H665" t="s">
        <v>410</v>
      </c>
      <c r="I665" t="s">
        <v>411</v>
      </c>
      <c r="J665" t="s">
        <v>412</v>
      </c>
      <c r="K665" t="s">
        <v>210</v>
      </c>
      <c r="L665" t="s">
        <v>413</v>
      </c>
      <c r="M665">
        <v>10</v>
      </c>
      <c r="N665">
        <v>10</v>
      </c>
      <c r="O665" t="s">
        <v>84</v>
      </c>
      <c r="P665">
        <v>1</v>
      </c>
      <c r="Q665">
        <f>N665/P665</f>
      </c>
      <c r="R665" s="1">
        <v>960</v>
      </c>
      <c r="S665" s="1">
        <v>960</v>
      </c>
      <c r="T665">
        <f>IF(R665=S665,"相符","不相符")</f>
      </c>
      <c r="U665" t="s">
        <v>414</v>
      </c>
      <c r="V665">
        <f>P665*R665</f>
      </c>
      <c r="W665">
        <f>Q665*V665</f>
      </c>
      <c r="X665">
        <v>730</v>
      </c>
      <c r="Y665" t="s">
        <v>41</v>
      </c>
      <c r="Z665" t="s">
        <v>213</v>
      </c>
      <c r="AA665"/>
      <c r="AB665"/>
      <c r="AC665" t="s">
        <v>43</v>
      </c>
      <c r="AD665"/>
    </row>
    <row r="666">
      <c r="A666" t="s">
        <v>30</v>
      </c>
      <c r="B666" t="s">
        <v>31</v>
      </c>
      <c r="C666" t="s">
        <v>1439</v>
      </c>
      <c r="D666" t="s">
        <v>567</v>
      </c>
      <c r="E666" t="s">
        <v>568</v>
      </c>
      <c r="F666" s="2">
        <v>46281</v>
      </c>
      <c r="G666">
        <v>2</v>
      </c>
      <c r="H666" t="s">
        <v>228</v>
      </c>
      <c r="I666" t="s">
        <v>229</v>
      </c>
      <c r="J666" t="s">
        <v>230</v>
      </c>
      <c r="K666" t="s">
        <v>210</v>
      </c>
      <c r="L666" t="s">
        <v>231</v>
      </c>
      <c r="M666">
        <v>6</v>
      </c>
      <c r="N666">
        <v>6</v>
      </c>
      <c r="O666" t="s">
        <v>84</v>
      </c>
      <c r="P666">
        <v>1</v>
      </c>
      <c r="Q666">
        <f>N666/P666</f>
      </c>
      <c r="R666" s="1">
        <v>960</v>
      </c>
      <c r="S666" s="1">
        <v>960</v>
      </c>
      <c r="T666">
        <f>IF(R666=S666,"相符","不相符")</f>
      </c>
      <c r="U666" t="s">
        <v>232</v>
      </c>
      <c r="V666">
        <f>P666*R666</f>
      </c>
      <c r="W666">
        <f>Q666*V666</f>
      </c>
      <c r="X666">
        <v>730</v>
      </c>
      <c r="Y666" t="s">
        <v>41</v>
      </c>
      <c r="Z666" t="s">
        <v>213</v>
      </c>
      <c r="AA666"/>
      <c r="AB666"/>
      <c r="AC666" t="s">
        <v>43</v>
      </c>
      <c r="AD666"/>
    </row>
    <row r="667">
      <c r="A667" t="s">
        <v>30</v>
      </c>
      <c r="B667" t="s">
        <v>233</v>
      </c>
      <c r="C667" t="s">
        <v>1440</v>
      </c>
      <c r="D667" t="s">
        <v>33</v>
      </c>
      <c r="E667" t="s">
        <v>34</v>
      </c>
      <c r="F667" s="2">
        <v>46281</v>
      </c>
      <c r="G667">
        <v>1</v>
      </c>
      <c r="H667" t="s">
        <v>480</v>
      </c>
      <c r="I667" t="s">
        <v>481</v>
      </c>
      <c r="J667" t="s">
        <v>482</v>
      </c>
      <c r="K667" t="s">
        <v>238</v>
      </c>
      <c r="L667" t="s">
        <v>483</v>
      </c>
      <c r="M667">
        <v>528</v>
      </c>
      <c r="N667">
        <v>528</v>
      </c>
      <c r="O667" t="s">
        <v>240</v>
      </c>
      <c r="P667">
        <v>6</v>
      </c>
      <c r="Q667">
        <f>N667/P667</f>
      </c>
      <c r="R667" s="1">
        <v>167</v>
      </c>
      <c r="S667" s="1">
        <v>167</v>
      </c>
      <c r="T667">
        <f>IF(R667=S667,"相符","不相符")</f>
      </c>
      <c r="U667"/>
      <c r="V667">
        <f>P667*R667</f>
      </c>
      <c r="W667">
        <f>Q667*V667</f>
      </c>
      <c r="X667">
        <v>1095</v>
      </c>
      <c r="Y667" t="s">
        <v>1441</v>
      </c>
      <c r="Z667" t="s">
        <v>42</v>
      </c>
      <c r="AA667"/>
      <c r="AB667"/>
      <c r="AC667" t="s">
        <v>243</v>
      </c>
      <c r="AD667"/>
    </row>
    <row r="668">
      <c r="A668" t="s">
        <v>30</v>
      </c>
      <c r="B668" t="s">
        <v>233</v>
      </c>
      <c r="C668" t="s">
        <v>1440</v>
      </c>
      <c r="D668" t="s">
        <v>33</v>
      </c>
      <c r="E668" t="s">
        <v>34</v>
      </c>
      <c r="F668" s="2">
        <v>46281</v>
      </c>
      <c r="G668">
        <v>2</v>
      </c>
      <c r="H668" t="s">
        <v>1315</v>
      </c>
      <c r="I668" t="s">
        <v>1316</v>
      </c>
      <c r="J668" t="s">
        <v>1317</v>
      </c>
      <c r="K668" t="s">
        <v>238</v>
      </c>
      <c r="L668" t="s">
        <v>1318</v>
      </c>
      <c r="M668">
        <v>450</v>
      </c>
      <c r="N668">
        <v>450</v>
      </c>
      <c r="O668" t="s">
        <v>177</v>
      </c>
      <c r="P668">
        <v>6</v>
      </c>
      <c r="Q668">
        <f>N668/P668</f>
      </c>
      <c r="R668" s="1">
        <v>123</v>
      </c>
      <c r="S668" s="1">
        <v>123</v>
      </c>
      <c r="T668">
        <f>IF(R668=S668,"相符","不相符")</f>
      </c>
      <c r="U668"/>
      <c r="V668">
        <f>P668*R668</f>
      </c>
      <c r="W668">
        <f>Q668*V668</f>
      </c>
      <c r="X668">
        <v>1095</v>
      </c>
      <c r="Y668" t="s">
        <v>1441</v>
      </c>
      <c r="Z668" t="s">
        <v>42</v>
      </c>
      <c r="AA668"/>
      <c r="AB668"/>
      <c r="AC668" t="s">
        <v>243</v>
      </c>
      <c r="AD668"/>
    </row>
    <row r="669">
      <c r="A669" t="s">
        <v>30</v>
      </c>
      <c r="B669" t="s">
        <v>254</v>
      </c>
      <c r="C669" t="s">
        <v>1440</v>
      </c>
      <c r="D669" t="s">
        <v>33</v>
      </c>
      <c r="E669" t="s">
        <v>34</v>
      </c>
      <c r="F669" s="2">
        <v>46281</v>
      </c>
      <c r="G669">
        <v>3</v>
      </c>
      <c r="H669" t="s">
        <v>272</v>
      </c>
      <c r="I669" t="s">
        <v>273</v>
      </c>
      <c r="J669" t="s">
        <v>274</v>
      </c>
      <c r="K669" t="s">
        <v>258</v>
      </c>
      <c r="L669" t="s">
        <v>275</v>
      </c>
      <c r="M669">
        <v>264</v>
      </c>
      <c r="N669">
        <v>264</v>
      </c>
      <c r="O669" t="s">
        <v>197</v>
      </c>
      <c r="P669">
        <v>8</v>
      </c>
      <c r="Q669">
        <f>N669/P669</f>
      </c>
      <c r="R669" s="1">
        <v>65</v>
      </c>
      <c r="S669" s="1">
        <v>65</v>
      </c>
      <c r="T669">
        <f>IF(R669=S669,"相符","不相符")</f>
      </c>
      <c r="U669" t="s">
        <v>276</v>
      </c>
      <c r="V669">
        <f>P669*R669</f>
      </c>
      <c r="W669">
        <f>Q669*V669</f>
      </c>
      <c r="X669">
        <v>1825</v>
      </c>
      <c r="Y669" t="s">
        <v>1272</v>
      </c>
      <c r="Z669" t="s">
        <v>42</v>
      </c>
      <c r="AA669"/>
      <c r="AB669"/>
      <c r="AC669" t="s">
        <v>243</v>
      </c>
      <c r="AD669"/>
    </row>
    <row r="670">
      <c r="A670" t="s">
        <v>30</v>
      </c>
      <c r="B670" t="s">
        <v>233</v>
      </c>
      <c r="C670" t="s">
        <v>1440</v>
      </c>
      <c r="D670" t="s">
        <v>33</v>
      </c>
      <c r="E670" t="s">
        <v>34</v>
      </c>
      <c r="F670" s="2">
        <v>46281</v>
      </c>
      <c r="G670">
        <v>4</v>
      </c>
      <c r="H670" t="s">
        <v>1129</v>
      </c>
      <c r="I670" t="s">
        <v>1130</v>
      </c>
      <c r="J670" t="s">
        <v>1131</v>
      </c>
      <c r="K670" t="s">
        <v>238</v>
      </c>
      <c r="L670" t="s">
        <v>1132</v>
      </c>
      <c r="M670">
        <v>468</v>
      </c>
      <c r="N670">
        <v>468</v>
      </c>
      <c r="O670" t="s">
        <v>240</v>
      </c>
      <c r="P670">
        <v>6</v>
      </c>
      <c r="Q670">
        <f>N670/P670</f>
      </c>
      <c r="R670" s="1">
        <v>176</v>
      </c>
      <c r="S670" s="1">
        <v>176</v>
      </c>
      <c r="T670">
        <f>IF(R670=S670,"相符","不相符")</f>
      </c>
      <c r="U670"/>
      <c r="V670">
        <f>P670*R670</f>
      </c>
      <c r="W670">
        <f>Q670*V670</f>
      </c>
      <c r="X670">
        <v>1095</v>
      </c>
      <c r="Y670" t="s">
        <v>1442</v>
      </c>
      <c r="Z670" t="s">
        <v>42</v>
      </c>
      <c r="AA670"/>
      <c r="AB670"/>
      <c r="AC670" t="s">
        <v>243</v>
      </c>
      <c r="AD670"/>
    </row>
    <row r="671">
      <c r="A671" t="s">
        <v>30</v>
      </c>
      <c r="B671" t="s">
        <v>233</v>
      </c>
      <c r="C671" t="s">
        <v>1440</v>
      </c>
      <c r="D671" t="s">
        <v>33</v>
      </c>
      <c r="E671" t="s">
        <v>34</v>
      </c>
      <c r="F671" s="2">
        <v>46281</v>
      </c>
      <c r="G671">
        <v>5</v>
      </c>
      <c r="H671" t="s">
        <v>870</v>
      </c>
      <c r="I671" t="s">
        <v>871</v>
      </c>
      <c r="J671" t="s">
        <v>872</v>
      </c>
      <c r="K671" t="s">
        <v>238</v>
      </c>
      <c r="L671" t="s">
        <v>873</v>
      </c>
      <c r="M671">
        <v>1104</v>
      </c>
      <c r="N671">
        <v>1104</v>
      </c>
      <c r="O671" t="s">
        <v>177</v>
      </c>
      <c r="P671">
        <v>6</v>
      </c>
      <c r="Q671">
        <f>N671/P671</f>
      </c>
      <c r="R671" s="1">
        <v>116</v>
      </c>
      <c r="S671" s="1">
        <v>116</v>
      </c>
      <c r="T671">
        <f>IF(R671=S671,"相符","不相符")</f>
      </c>
      <c r="U671"/>
      <c r="V671">
        <f>P671*R671</f>
      </c>
      <c r="W671">
        <f>Q671*V671</f>
      </c>
      <c r="X671">
        <v>1095</v>
      </c>
      <c r="Y671" t="s">
        <v>1441</v>
      </c>
      <c r="Z671" t="s">
        <v>42</v>
      </c>
      <c r="AA671"/>
      <c r="AB671"/>
      <c r="AC671" t="s">
        <v>243</v>
      </c>
      <c r="AD671"/>
    </row>
    <row r="672">
      <c r="A672" t="s">
        <v>30</v>
      </c>
      <c r="B672" t="s">
        <v>233</v>
      </c>
      <c r="C672" t="s">
        <v>1443</v>
      </c>
      <c r="D672" t="s">
        <v>464</v>
      </c>
      <c r="E672" t="s">
        <v>465</v>
      </c>
      <c r="F672" s="2">
        <v>46283</v>
      </c>
      <c r="G672">
        <v>1</v>
      </c>
      <c r="H672" t="s">
        <v>1444</v>
      </c>
      <c r="I672" t="s">
        <v>1445</v>
      </c>
      <c r="J672" t="s">
        <v>482</v>
      </c>
      <c r="K672" t="s">
        <v>238</v>
      </c>
      <c r="L672" t="s">
        <v>1446</v>
      </c>
      <c r="M672">
        <v>1</v>
      </c>
      <c r="N672">
        <v>1</v>
      </c>
      <c r="O672" t="s">
        <v>84</v>
      </c>
      <c r="P672">
        <v>1</v>
      </c>
      <c r="Q672">
        <f>N672/P672</f>
      </c>
      <c r="R672" s="1">
        <v>1002</v>
      </c>
      <c r="S672" s="1">
        <v>1002</v>
      </c>
      <c r="T672">
        <f>IF(R672=S672,"相符","不相符")</f>
      </c>
      <c r="U672"/>
      <c r="V672">
        <f>P672*R672</f>
      </c>
      <c r="W672">
        <f>Q672*V672</f>
      </c>
      <c r="X672">
        <v>1095</v>
      </c>
      <c r="Y672" t="s">
        <v>1447</v>
      </c>
      <c r="Z672" t="s">
        <v>42</v>
      </c>
      <c r="AA672"/>
      <c r="AB672"/>
      <c r="AC672" t="s">
        <v>243</v>
      </c>
      <c r="AD672"/>
    </row>
    <row r="673">
      <c r="A673" t="s">
        <v>30</v>
      </c>
      <c r="B673" t="s">
        <v>189</v>
      </c>
      <c r="C673" t="s">
        <v>1448</v>
      </c>
      <c r="D673" t="s">
        <v>262</v>
      </c>
      <c r="E673" t="s">
        <v>263</v>
      </c>
      <c r="F673" s="2">
        <v>46269</v>
      </c>
      <c r="G673">
        <v>1</v>
      </c>
      <c r="H673" t="s">
        <v>612</v>
      </c>
      <c r="I673" t="s">
        <v>613</v>
      </c>
      <c r="J673" t="s">
        <v>614</v>
      </c>
      <c r="K673" t="s">
        <v>419</v>
      </c>
      <c r="L673" t="s">
        <v>615</v>
      </c>
      <c r="M673">
        <v>24</v>
      </c>
      <c r="N673">
        <v>24</v>
      </c>
      <c r="O673" t="s">
        <v>84</v>
      </c>
      <c r="P673">
        <v>1</v>
      </c>
      <c r="Q673">
        <f>N673/P673</f>
      </c>
      <c r="R673" s="1">
        <v>1231</v>
      </c>
      <c r="S673" s="1">
        <v>1231</v>
      </c>
      <c r="T673">
        <f>IF(R673=S673,"相符","不相符")</f>
      </c>
      <c r="U673"/>
      <c r="V673">
        <f>P673*R673</f>
      </c>
      <c r="W673">
        <f>Q673*V673</f>
      </c>
      <c r="X673">
        <v>1095</v>
      </c>
      <c r="Y673" t="s">
        <v>1449</v>
      </c>
      <c r="Z673" t="s">
        <v>1063</v>
      </c>
      <c r="AA673"/>
      <c r="AB673"/>
      <c r="AC673" t="s">
        <v>49</v>
      </c>
      <c r="AD673"/>
    </row>
    <row r="674">
      <c r="A674" t="s">
        <v>30</v>
      </c>
      <c r="B674" t="s">
        <v>189</v>
      </c>
      <c r="C674" t="s">
        <v>1448</v>
      </c>
      <c r="D674" t="s">
        <v>262</v>
      </c>
      <c r="E674" t="s">
        <v>263</v>
      </c>
      <c r="F674" s="2">
        <v>46269</v>
      </c>
      <c r="G674">
        <v>2</v>
      </c>
      <c r="H674" t="s">
        <v>1065</v>
      </c>
      <c r="I674" t="s">
        <v>1066</v>
      </c>
      <c r="J674" t="s">
        <v>461</v>
      </c>
      <c r="K674" t="s">
        <v>419</v>
      </c>
      <c r="L674" t="s">
        <v>1067</v>
      </c>
      <c r="M674">
        <v>200</v>
      </c>
      <c r="N674">
        <v>200</v>
      </c>
      <c r="O674" t="s">
        <v>84</v>
      </c>
      <c r="P674">
        <v>1</v>
      </c>
      <c r="Q674">
        <f>N674/P674</f>
      </c>
      <c r="R674" s="1">
        <v>1175</v>
      </c>
      <c r="S674" s="1">
        <v>1175</v>
      </c>
      <c r="T674">
        <f>IF(R674=S674,"相符","不相符")</f>
      </c>
      <c r="U674"/>
      <c r="V674">
        <f>P674*R674</f>
      </c>
      <c r="W674">
        <f>Q674*V674</f>
      </c>
      <c r="X674">
        <v>1095</v>
      </c>
      <c r="Y674" t="s">
        <v>1449</v>
      </c>
      <c r="Z674" t="s">
        <v>1063</v>
      </c>
      <c r="AA674"/>
      <c r="AB674"/>
      <c r="AC674" t="s">
        <v>49</v>
      </c>
      <c r="AD674"/>
    </row>
    <row r="675">
      <c r="A675" t="s">
        <v>30</v>
      </c>
      <c r="B675" t="s">
        <v>189</v>
      </c>
      <c r="C675" t="s">
        <v>1448</v>
      </c>
      <c r="D675" t="s">
        <v>262</v>
      </c>
      <c r="E675" t="s">
        <v>263</v>
      </c>
      <c r="F675" s="2">
        <v>46269</v>
      </c>
      <c r="G675">
        <v>3</v>
      </c>
      <c r="H675" t="s">
        <v>1068</v>
      </c>
      <c r="I675" t="s">
        <v>1069</v>
      </c>
      <c r="J675" t="s">
        <v>666</v>
      </c>
      <c r="K675" t="s">
        <v>419</v>
      </c>
      <c r="L675" t="s">
        <v>1070</v>
      </c>
      <c r="M675">
        <v>26</v>
      </c>
      <c r="N675">
        <v>26</v>
      </c>
      <c r="O675" t="s">
        <v>84</v>
      </c>
      <c r="P675">
        <v>1</v>
      </c>
      <c r="Q675">
        <f>N675/P675</f>
      </c>
      <c r="R675" s="1">
        <v>1175</v>
      </c>
      <c r="S675" s="1">
        <v>1175</v>
      </c>
      <c r="T675">
        <f>IF(R675=S675,"相符","不相符")</f>
      </c>
      <c r="U675"/>
      <c r="V675">
        <f>P675*R675</f>
      </c>
      <c r="W675">
        <f>Q675*V675</f>
      </c>
      <c r="X675">
        <v>1095</v>
      </c>
      <c r="Y675" t="s">
        <v>1449</v>
      </c>
      <c r="Z675" t="s">
        <v>1063</v>
      </c>
      <c r="AA675"/>
      <c r="AB675"/>
      <c r="AC675" t="s">
        <v>49</v>
      </c>
      <c r="AD675"/>
    </row>
    <row r="676">
      <c r="A676" t="s">
        <v>30</v>
      </c>
      <c r="B676" t="s">
        <v>189</v>
      </c>
      <c r="C676" t="s">
        <v>1448</v>
      </c>
      <c r="D676" t="s">
        <v>262</v>
      </c>
      <c r="E676" t="s">
        <v>263</v>
      </c>
      <c r="F676" s="2">
        <v>46269</v>
      </c>
      <c r="G676">
        <v>4</v>
      </c>
      <c r="H676" t="s">
        <v>1071</v>
      </c>
      <c r="I676" t="s">
        <v>1072</v>
      </c>
      <c r="J676" t="s">
        <v>418</v>
      </c>
      <c r="K676" t="s">
        <v>419</v>
      </c>
      <c r="L676" t="s">
        <v>1073</v>
      </c>
      <c r="M676">
        <v>44</v>
      </c>
      <c r="N676">
        <v>44</v>
      </c>
      <c r="O676" t="s">
        <v>84</v>
      </c>
      <c r="P676">
        <v>1</v>
      </c>
      <c r="Q676">
        <f>N676/P676</f>
      </c>
      <c r="R676" s="1">
        <v>1175</v>
      </c>
      <c r="S676" s="1">
        <v>1175</v>
      </c>
      <c r="T676">
        <f>IF(R676=S676,"相符","不相符")</f>
      </c>
      <c r="U676"/>
      <c r="V676">
        <f>P676*R676</f>
      </c>
      <c r="W676">
        <f>Q676*V676</f>
      </c>
      <c r="X676">
        <v>1095</v>
      </c>
      <c r="Y676" t="s">
        <v>1449</v>
      </c>
      <c r="Z676" t="s">
        <v>1063</v>
      </c>
      <c r="AA676"/>
      <c r="AB676"/>
      <c r="AC676" t="s">
        <v>49</v>
      </c>
      <c r="AD676"/>
    </row>
    <row r="677">
      <c r="A677" t="s">
        <v>30</v>
      </c>
      <c r="B677" t="s">
        <v>189</v>
      </c>
      <c r="C677" t="s">
        <v>1448</v>
      </c>
      <c r="D677" t="s">
        <v>262</v>
      </c>
      <c r="E677" t="s">
        <v>263</v>
      </c>
      <c r="F677" s="2">
        <v>46269</v>
      </c>
      <c r="G677">
        <v>5</v>
      </c>
      <c r="H677" t="s">
        <v>1074</v>
      </c>
      <c r="I677" t="s">
        <v>1075</v>
      </c>
      <c r="J677" t="s">
        <v>649</v>
      </c>
      <c r="K677" t="s">
        <v>419</v>
      </c>
      <c r="L677" t="s">
        <v>1076</v>
      </c>
      <c r="M677">
        <v>162</v>
      </c>
      <c r="N677">
        <v>162</v>
      </c>
      <c r="O677" t="s">
        <v>84</v>
      </c>
      <c r="P677">
        <v>1</v>
      </c>
      <c r="Q677">
        <f>N677/P677</f>
      </c>
      <c r="R677" s="1">
        <v>1175</v>
      </c>
      <c r="S677" s="1">
        <v>1175</v>
      </c>
      <c r="T677">
        <f>IF(R677=S677,"相符","不相符")</f>
      </c>
      <c r="U677"/>
      <c r="V677">
        <f>P677*R677</f>
      </c>
      <c r="W677">
        <f>Q677*V677</f>
      </c>
      <c r="X677">
        <v>1095</v>
      </c>
      <c r="Y677" t="s">
        <v>1449</v>
      </c>
      <c r="Z677" t="s">
        <v>1063</v>
      </c>
      <c r="AA677"/>
      <c r="AB677"/>
      <c r="AC677" t="s">
        <v>49</v>
      </c>
      <c r="AD677"/>
    </row>
    <row r="678">
      <c r="A678" t="s">
        <v>30</v>
      </c>
      <c r="B678" t="s">
        <v>189</v>
      </c>
      <c r="C678" t="s">
        <v>1448</v>
      </c>
      <c r="D678" t="s">
        <v>262</v>
      </c>
      <c r="E678" t="s">
        <v>263</v>
      </c>
      <c r="F678" s="2">
        <v>46269</v>
      </c>
      <c r="G678">
        <v>6</v>
      </c>
      <c r="H678" t="s">
        <v>632</v>
      </c>
      <c r="I678" t="s">
        <v>633</v>
      </c>
      <c r="J678" t="s">
        <v>634</v>
      </c>
      <c r="K678" t="s">
        <v>419</v>
      </c>
      <c r="L678" t="s">
        <v>635</v>
      </c>
      <c r="M678">
        <v>24</v>
      </c>
      <c r="N678">
        <v>24</v>
      </c>
      <c r="O678" t="s">
        <v>84</v>
      </c>
      <c r="P678">
        <v>1</v>
      </c>
      <c r="Q678">
        <f>N678/P678</f>
      </c>
      <c r="R678" s="1">
        <v>1231</v>
      </c>
      <c r="S678" s="1">
        <v>1231</v>
      </c>
      <c r="T678">
        <f>IF(R678=S678,"相符","不相符")</f>
      </c>
      <c r="U678"/>
      <c r="V678">
        <f>P678*R678</f>
      </c>
      <c r="W678">
        <f>Q678*V678</f>
      </c>
      <c r="X678">
        <v>1095</v>
      </c>
      <c r="Y678" t="s">
        <v>1449</v>
      </c>
      <c r="Z678" t="s">
        <v>1063</v>
      </c>
      <c r="AA678"/>
      <c r="AB678"/>
      <c r="AC678" t="s">
        <v>49</v>
      </c>
      <c r="AD678"/>
    </row>
    <row r="679">
      <c r="A679" t="s">
        <v>30</v>
      </c>
      <c r="B679" t="s">
        <v>31</v>
      </c>
      <c r="C679" t="s">
        <v>1450</v>
      </c>
      <c r="D679" t="s">
        <v>262</v>
      </c>
      <c r="E679" t="s">
        <v>263</v>
      </c>
      <c r="F679" s="2">
        <v>46269</v>
      </c>
      <c r="G679">
        <v>1</v>
      </c>
      <c r="H679" t="s">
        <v>1451</v>
      </c>
      <c r="I679" t="s">
        <v>1452</v>
      </c>
      <c r="J679" t="s">
        <v>1453</v>
      </c>
      <c r="K679" t="s">
        <v>1454</v>
      </c>
      <c r="L679" t="s">
        <v>1455</v>
      </c>
      <c r="M679">
        <v>90</v>
      </c>
      <c r="N679">
        <v>90</v>
      </c>
      <c r="O679" t="s">
        <v>683</v>
      </c>
      <c r="P679">
        <v>1</v>
      </c>
      <c r="Q679">
        <f>N679/P679</f>
      </c>
      <c r="R679" s="1">
        <v>0</v>
      </c>
      <c r="S679" s="1">
        <v>1</v>
      </c>
      <c r="T679">
        <f>IF(R679=S679,"相符","不相符")</f>
      </c>
      <c r="U679"/>
      <c r="V679">
        <f>P679*R679</f>
      </c>
      <c r="W679">
        <f>Q679*V679</f>
      </c>
      <c r="X679">
        <v>365</v>
      </c>
      <c r="Y679" t="s">
        <v>744</v>
      </c>
      <c r="Z679" t="s">
        <v>1456</v>
      </c>
      <c r="AA679"/>
      <c r="AB679"/>
      <c r="AC679" t="s">
        <v>43</v>
      </c>
      <c r="AD679"/>
    </row>
    <row r="680">
      <c r="A680" t="s">
        <v>30</v>
      </c>
      <c r="B680" t="s">
        <v>254</v>
      </c>
      <c r="C680" t="s">
        <v>1457</v>
      </c>
      <c r="D680" t="s">
        <v>604</v>
      </c>
      <c r="E680" t="s">
        <v>605</v>
      </c>
      <c r="F680" s="2">
        <v>46269</v>
      </c>
      <c r="G680">
        <v>1</v>
      </c>
      <c r="H680" t="s">
        <v>825</v>
      </c>
      <c r="I680" t="s">
        <v>826</v>
      </c>
      <c r="J680" t="s">
        <v>827</v>
      </c>
      <c r="K680" t="s">
        <v>258</v>
      </c>
      <c r="L680" t="s">
        <v>828</v>
      </c>
      <c r="M680">
        <v>3760</v>
      </c>
      <c r="N680">
        <v>3760</v>
      </c>
      <c r="O680" t="s">
        <v>197</v>
      </c>
      <c r="P680">
        <v>8</v>
      </c>
      <c r="Q680">
        <f>N680/P680</f>
      </c>
      <c r="R680" s="1">
        <v>67</v>
      </c>
      <c r="S680" s="1">
        <v>67</v>
      </c>
      <c r="T680">
        <f>IF(R680=S680,"相符","不相符")</f>
      </c>
      <c r="U680" t="s">
        <v>829</v>
      </c>
      <c r="V680">
        <f>P680*R680</f>
      </c>
      <c r="W680">
        <f>Q680*V680</f>
      </c>
      <c r="X680">
        <v>1825</v>
      </c>
      <c r="Y680" t="s">
        <v>1458</v>
      </c>
      <c r="Z680" t="s">
        <v>1459</v>
      </c>
      <c r="AA680"/>
      <c r="AB680"/>
      <c r="AC680" t="s">
        <v>243</v>
      </c>
      <c r="AD680"/>
    </row>
    <row r="681">
      <c r="A681" t="s">
        <v>30</v>
      </c>
      <c r="B681" t="s">
        <v>31</v>
      </c>
      <c r="C681" t="s">
        <v>1460</v>
      </c>
      <c r="D681" t="s">
        <v>33</v>
      </c>
      <c r="E681" t="s">
        <v>34</v>
      </c>
      <c r="F681" s="2">
        <v>46269</v>
      </c>
      <c r="G681">
        <v>1</v>
      </c>
      <c r="H681" t="s">
        <v>323</v>
      </c>
      <c r="I681" t="s">
        <v>324</v>
      </c>
      <c r="J681" t="s">
        <v>325</v>
      </c>
      <c r="K681" t="s">
        <v>82</v>
      </c>
      <c r="L681" t="s">
        <v>326</v>
      </c>
      <c r="M681">
        <v>6</v>
      </c>
      <c r="N681">
        <v>6</v>
      </c>
      <c r="O681" t="s">
        <v>84</v>
      </c>
      <c r="P681">
        <v>1</v>
      </c>
      <c r="Q681">
        <f>N681/P681</f>
      </c>
      <c r="R681" s="1">
        <v>635</v>
      </c>
      <c r="S681" s="1">
        <v>635</v>
      </c>
      <c r="T681">
        <f>IF(R681=S681,"相符","不相符")</f>
      </c>
      <c r="U681" t="s">
        <v>327</v>
      </c>
      <c r="V681">
        <f>P681*R681</f>
      </c>
      <c r="W681">
        <f>Q681*V681</f>
      </c>
      <c r="X681">
        <v>730</v>
      </c>
      <c r="Y681" t="s">
        <v>998</v>
      </c>
      <c r="Z681" t="s">
        <v>1461</v>
      </c>
      <c r="AA681"/>
      <c r="AB681"/>
      <c r="AC681" t="s">
        <v>49</v>
      </c>
      <c r="AD681"/>
    </row>
    <row r="682">
      <c r="A682" t="s">
        <v>30</v>
      </c>
      <c r="B682" t="s">
        <v>31</v>
      </c>
      <c r="C682" t="s">
        <v>1460</v>
      </c>
      <c r="D682" t="s">
        <v>33</v>
      </c>
      <c r="E682" t="s">
        <v>34</v>
      </c>
      <c r="F682" s="2">
        <v>46269</v>
      </c>
      <c r="G682">
        <v>2</v>
      </c>
      <c r="H682" t="s">
        <v>1462</v>
      </c>
      <c r="I682" t="s">
        <v>1463</v>
      </c>
      <c r="J682" t="s">
        <v>1464</v>
      </c>
      <c r="K682" t="s">
        <v>82</v>
      </c>
      <c r="L682" t="s">
        <v>1465</v>
      </c>
      <c r="M682">
        <v>11</v>
      </c>
      <c r="N682">
        <v>11</v>
      </c>
      <c r="O682" t="s">
        <v>84</v>
      </c>
      <c r="P682">
        <v>1</v>
      </c>
      <c r="Q682">
        <f>N682/P682</f>
      </c>
      <c r="R682" s="1">
        <v>690</v>
      </c>
      <c r="S682" s="1">
        <v>635</v>
      </c>
      <c r="T682">
        <f>IF(R682=S682,"相符","不相符")</f>
      </c>
      <c r="U682" t="s">
        <v>1464</v>
      </c>
      <c r="V682">
        <f>P682*R682</f>
      </c>
      <c r="W682">
        <f>Q682*V682</f>
      </c>
      <c r="X682">
        <v>730</v>
      </c>
      <c r="Y682" t="s">
        <v>1466</v>
      </c>
      <c r="Z682" t="s">
        <v>1461</v>
      </c>
      <c r="AA682"/>
      <c r="AB682"/>
      <c r="AC682" t="s">
        <v>49</v>
      </c>
      <c r="AD682"/>
    </row>
    <row r="683">
      <c r="A683" t="s">
        <v>30</v>
      </c>
      <c r="B683" t="s">
        <v>254</v>
      </c>
      <c r="C683" t="s">
        <v>1467</v>
      </c>
      <c r="D683" t="s">
        <v>604</v>
      </c>
      <c r="E683" t="s">
        <v>605</v>
      </c>
      <c r="F683" s="2">
        <v>46269</v>
      </c>
      <c r="G683">
        <v>1</v>
      </c>
      <c r="H683" t="s">
        <v>825</v>
      </c>
      <c r="I683" t="s">
        <v>826</v>
      </c>
      <c r="J683" t="s">
        <v>827</v>
      </c>
      <c r="K683" t="s">
        <v>258</v>
      </c>
      <c r="L683" t="s">
        <v>828</v>
      </c>
      <c r="M683">
        <v>6240</v>
      </c>
      <c r="N683">
        <v>2480</v>
      </c>
      <c r="O683" t="s">
        <v>197</v>
      </c>
      <c r="P683">
        <v>8</v>
      </c>
      <c r="Q683">
        <f>N683/P683</f>
      </c>
      <c r="R683" s="1">
        <v>67</v>
      </c>
      <c r="S683" s="1">
        <v>67</v>
      </c>
      <c r="T683">
        <f>IF(R683=S683,"相符","不相符")</f>
      </c>
      <c r="U683" t="s">
        <v>829</v>
      </c>
      <c r="V683">
        <f>P683*R683</f>
      </c>
      <c r="W683">
        <f>Q683*V683</f>
      </c>
      <c r="X683">
        <v>1825</v>
      </c>
      <c r="Y683" t="s">
        <v>1458</v>
      </c>
      <c r="Z683" t="s">
        <v>838</v>
      </c>
      <c r="AA683"/>
      <c r="AB683"/>
      <c r="AC683" t="s">
        <v>243</v>
      </c>
      <c r="AD683"/>
    </row>
    <row r="684">
      <c r="A684" t="s">
        <v>30</v>
      </c>
      <c r="B684" t="s">
        <v>31</v>
      </c>
      <c r="C684" t="s">
        <v>1468</v>
      </c>
      <c r="D684" t="s">
        <v>464</v>
      </c>
      <c r="E684" t="s">
        <v>465</v>
      </c>
      <c r="F684" s="2">
        <v>46269</v>
      </c>
      <c r="G684">
        <v>1</v>
      </c>
      <c r="H684" t="s">
        <v>1469</v>
      </c>
      <c r="I684" t="s">
        <v>1470</v>
      </c>
      <c r="J684" t="s">
        <v>1471</v>
      </c>
      <c r="K684" t="s">
        <v>75</v>
      </c>
      <c r="L684" t="s">
        <v>1472</v>
      </c>
      <c r="M684">
        <v>1</v>
      </c>
      <c r="N684">
        <v>1</v>
      </c>
      <c r="O684" t="s">
        <v>84</v>
      </c>
      <c r="P684">
        <v>1</v>
      </c>
      <c r="Q684">
        <f>N684/P684</f>
      </c>
      <c r="R684" s="1">
        <v>3066</v>
      </c>
      <c r="S684" s="1">
        <v>3066</v>
      </c>
      <c r="T684">
        <f>IF(R684=S684,"相符","不相符")</f>
      </c>
      <c r="U684" t="s">
        <v>1473</v>
      </c>
      <c r="V684">
        <f>P684*R684</f>
      </c>
      <c r="W684">
        <f>Q684*V684</f>
      </c>
      <c r="X684">
        <v>365</v>
      </c>
      <c r="Y684" t="s">
        <v>1474</v>
      </c>
      <c r="Z684" t="s">
        <v>42</v>
      </c>
      <c r="AA684"/>
      <c r="AB684"/>
      <c r="AC684" t="s">
        <v>43</v>
      </c>
      <c r="AD684"/>
    </row>
    <row r="685">
      <c r="A685" t="s">
        <v>30</v>
      </c>
      <c r="B685" t="s">
        <v>31</v>
      </c>
      <c r="C685" t="s">
        <v>1468</v>
      </c>
      <c r="D685" t="s">
        <v>464</v>
      </c>
      <c r="E685" t="s">
        <v>465</v>
      </c>
      <c r="F685" s="2">
        <v>46269</v>
      </c>
      <c r="G685">
        <v>2</v>
      </c>
      <c r="H685" t="s">
        <v>1475</v>
      </c>
      <c r="I685" t="s">
        <v>1476</v>
      </c>
      <c r="J685" t="s">
        <v>1477</v>
      </c>
      <c r="K685" t="s">
        <v>63</v>
      </c>
      <c r="L685" t="s">
        <v>1478</v>
      </c>
      <c r="M685">
        <v>2</v>
      </c>
      <c r="N685">
        <v>2</v>
      </c>
      <c r="O685" t="s">
        <v>84</v>
      </c>
      <c r="P685">
        <v>1</v>
      </c>
      <c r="Q685">
        <f>N685/P685</f>
      </c>
      <c r="R685" s="1">
        <v>4728</v>
      </c>
      <c r="S685" s="1">
        <v>4428</v>
      </c>
      <c r="T685">
        <f>IF(R685=S685,"相符","不相符")</f>
      </c>
      <c r="U685" t="s">
        <v>1477</v>
      </c>
      <c r="V685">
        <f>P685*R685</f>
      </c>
      <c r="W685">
        <f>Q685*V685</f>
      </c>
      <c r="X685">
        <v>450</v>
      </c>
      <c r="Y685" t="s">
        <v>1474</v>
      </c>
      <c r="Z685" t="s">
        <v>42</v>
      </c>
      <c r="AA685"/>
      <c r="AB685"/>
      <c r="AC685" t="s">
        <v>43</v>
      </c>
      <c r="AD685"/>
    </row>
    <row r="686">
      <c r="A686" t="s">
        <v>30</v>
      </c>
      <c r="B686" t="s">
        <v>31</v>
      </c>
      <c r="C686" t="s">
        <v>1479</v>
      </c>
      <c r="D686" t="s">
        <v>33</v>
      </c>
      <c r="E686" t="s">
        <v>34</v>
      </c>
      <c r="F686" s="2">
        <v>46269</v>
      </c>
      <c r="G686">
        <v>1</v>
      </c>
      <c r="H686" t="s">
        <v>125</v>
      </c>
      <c r="I686" t="s">
        <v>126</v>
      </c>
      <c r="J686" t="s">
        <v>127</v>
      </c>
      <c r="K686" t="s">
        <v>57</v>
      </c>
      <c r="L686" t="s">
        <v>128</v>
      </c>
      <c r="M686">
        <v>6</v>
      </c>
      <c r="N686">
        <v>6</v>
      </c>
      <c r="O686" t="s">
        <v>40</v>
      </c>
      <c r="P686">
        <v>6</v>
      </c>
      <c r="Q686">
        <f>N686/P686</f>
      </c>
      <c r="R686" s="1">
        <v>129</v>
      </c>
      <c r="S686" s="1">
        <v>129</v>
      </c>
      <c r="T686">
        <f>IF(R686=S686,"相符","不相符")</f>
      </c>
      <c r="U686" t="s">
        <v>127</v>
      </c>
      <c r="V686">
        <f>P686*R686</f>
      </c>
      <c r="W686">
        <f>Q686*V686</f>
      </c>
      <c r="X686">
        <v>540</v>
      </c>
      <c r="Y686" t="s">
        <v>1426</v>
      </c>
      <c r="Z686" t="s">
        <v>1480</v>
      </c>
      <c r="AA686"/>
      <c r="AB686"/>
      <c r="AC686" t="s">
        <v>43</v>
      </c>
      <c r="AD686"/>
    </row>
    <row r="687">
      <c r="A687" t="s">
        <v>30</v>
      </c>
      <c r="B687" t="s">
        <v>31</v>
      </c>
      <c r="C687" t="s">
        <v>1479</v>
      </c>
      <c r="D687" t="s">
        <v>33</v>
      </c>
      <c r="E687" t="s">
        <v>34</v>
      </c>
      <c r="F687" s="2">
        <v>46269</v>
      </c>
      <c r="G687">
        <v>2</v>
      </c>
      <c r="H687" t="s">
        <v>134</v>
      </c>
      <c r="I687" t="s">
        <v>135</v>
      </c>
      <c r="J687" t="s">
        <v>136</v>
      </c>
      <c r="K687" t="s">
        <v>38</v>
      </c>
      <c r="L687" t="s">
        <v>137</v>
      </c>
      <c r="M687">
        <v>51</v>
      </c>
      <c r="N687">
        <v>50</v>
      </c>
      <c r="O687" t="s">
        <v>40</v>
      </c>
      <c r="P687">
        <v>10</v>
      </c>
      <c r="Q687">
        <f>N687/P687</f>
      </c>
      <c r="R687" s="1">
        <v>277</v>
      </c>
      <c r="S687" s="1">
        <v>277</v>
      </c>
      <c r="T687">
        <f>IF(R687=S687,"相符","不相符")</f>
      </c>
      <c r="U687" t="s">
        <v>138</v>
      </c>
      <c r="V687">
        <f>P687*R687</f>
      </c>
      <c r="W687">
        <f>Q687*V687</f>
      </c>
      <c r="X687">
        <v>730</v>
      </c>
      <c r="Y687" t="s">
        <v>1466</v>
      </c>
      <c r="Z687" t="s">
        <v>1480</v>
      </c>
      <c r="AA687"/>
      <c r="AB687"/>
      <c r="AC687" t="s">
        <v>49</v>
      </c>
      <c r="AD687"/>
    </row>
    <row r="688">
      <c r="A688" t="s">
        <v>30</v>
      </c>
      <c r="B688" t="s">
        <v>31</v>
      </c>
      <c r="C688" t="s">
        <v>1479</v>
      </c>
      <c r="D688" t="s">
        <v>33</v>
      </c>
      <c r="E688" t="s">
        <v>34</v>
      </c>
      <c r="F688" s="2">
        <v>46269</v>
      </c>
      <c r="G688">
        <v>3</v>
      </c>
      <c r="H688" t="s">
        <v>44</v>
      </c>
      <c r="I688" t="s">
        <v>45</v>
      </c>
      <c r="J688" t="s">
        <v>46</v>
      </c>
      <c r="K688" t="s">
        <v>38</v>
      </c>
      <c r="L688" t="s">
        <v>47</v>
      </c>
      <c r="M688">
        <v>118</v>
      </c>
      <c r="N688">
        <v>110</v>
      </c>
      <c r="O688" t="s">
        <v>40</v>
      </c>
      <c r="P688">
        <v>10</v>
      </c>
      <c r="Q688">
        <f>N688/P688</f>
      </c>
      <c r="R688" s="1">
        <v>277</v>
      </c>
      <c r="S688" s="1">
        <v>277</v>
      </c>
      <c r="T688">
        <f>IF(R688=S688,"相符","不相符")</f>
      </c>
      <c r="U688" t="s">
        <v>48</v>
      </c>
      <c r="V688">
        <f>P688*R688</f>
      </c>
      <c r="W688">
        <f>Q688*V688</f>
      </c>
      <c r="X688">
        <v>730</v>
      </c>
      <c r="Y688" t="s">
        <v>998</v>
      </c>
      <c r="Z688" t="s">
        <v>1480</v>
      </c>
      <c r="AA688"/>
      <c r="AB688"/>
      <c r="AC688" t="s">
        <v>49</v>
      </c>
      <c r="AD688"/>
    </row>
    <row r="689">
      <c r="A689" t="s">
        <v>30</v>
      </c>
      <c r="B689" t="s">
        <v>31</v>
      </c>
      <c r="C689" t="s">
        <v>1479</v>
      </c>
      <c r="D689" t="s">
        <v>33</v>
      </c>
      <c r="E689" t="s">
        <v>34</v>
      </c>
      <c r="F689" s="2">
        <v>46269</v>
      </c>
      <c r="G689">
        <v>4</v>
      </c>
      <c r="H689" t="s">
        <v>1338</v>
      </c>
      <c r="I689" t="s">
        <v>1339</v>
      </c>
      <c r="J689" t="s">
        <v>1340</v>
      </c>
      <c r="K689" t="s">
        <v>38</v>
      </c>
      <c r="L689" t="s">
        <v>1341</v>
      </c>
      <c r="M689">
        <v>8</v>
      </c>
      <c r="N689">
        <v>8</v>
      </c>
      <c r="O689" t="s">
        <v>40</v>
      </c>
      <c r="P689">
        <v>4</v>
      </c>
      <c r="Q689">
        <f>N689/P689</f>
      </c>
      <c r="R689" s="1">
        <v>555</v>
      </c>
      <c r="S689" s="1">
        <v>555</v>
      </c>
      <c r="T689">
        <f>IF(R689=S689,"相符","不相符")</f>
      </c>
      <c r="U689" t="s">
        <v>1340</v>
      </c>
      <c r="V689">
        <f>P689*R689</f>
      </c>
      <c r="W689">
        <f>Q689*V689</f>
      </c>
      <c r="X689">
        <v>730</v>
      </c>
      <c r="Y689" t="s">
        <v>998</v>
      </c>
      <c r="Z689" t="s">
        <v>1480</v>
      </c>
      <c r="AA689"/>
      <c r="AB689"/>
      <c r="AC689" t="s">
        <v>43</v>
      </c>
      <c r="AD689"/>
    </row>
    <row r="690">
      <c r="A690" t="s">
        <v>30</v>
      </c>
      <c r="B690" t="s">
        <v>31</v>
      </c>
      <c r="C690" t="s">
        <v>1479</v>
      </c>
      <c r="D690" t="s">
        <v>33</v>
      </c>
      <c r="E690" t="s">
        <v>34</v>
      </c>
      <c r="F690" s="2">
        <v>46269</v>
      </c>
      <c r="G690">
        <v>5</v>
      </c>
      <c r="H690" t="s">
        <v>1481</v>
      </c>
      <c r="I690" t="s">
        <v>1482</v>
      </c>
      <c r="J690" t="s">
        <v>1483</v>
      </c>
      <c r="K690" t="s">
        <v>38</v>
      </c>
      <c r="L690" t="s">
        <v>1484</v>
      </c>
      <c r="M690">
        <v>6</v>
      </c>
      <c r="N690">
        <v>4</v>
      </c>
      <c r="O690" t="s">
        <v>40</v>
      </c>
      <c r="P690">
        <v>4</v>
      </c>
      <c r="Q690">
        <f>N690/P690</f>
      </c>
      <c r="R690" s="1">
        <v>936</v>
      </c>
      <c r="S690" s="1">
        <v>936</v>
      </c>
      <c r="T690">
        <f>IF(R690=S690,"相符","不相符")</f>
      </c>
      <c r="U690" t="s">
        <v>1483</v>
      </c>
      <c r="V690">
        <f>P690*R690</f>
      </c>
      <c r="W690">
        <f>Q690*V690</f>
      </c>
      <c r="X690">
        <v>450</v>
      </c>
      <c r="Y690" t="s">
        <v>1485</v>
      </c>
      <c r="Z690" t="s">
        <v>1480</v>
      </c>
      <c r="AA690"/>
      <c r="AB690"/>
      <c r="AC690" t="s">
        <v>49</v>
      </c>
      <c r="AD690"/>
    </row>
    <row r="691">
      <c r="A691" t="s">
        <v>30</v>
      </c>
      <c r="B691" t="s">
        <v>31</v>
      </c>
      <c r="C691" t="s">
        <v>1479</v>
      </c>
      <c r="D691" t="s">
        <v>33</v>
      </c>
      <c r="E691" t="s">
        <v>34</v>
      </c>
      <c r="F691" s="2">
        <v>46269</v>
      </c>
      <c r="G691">
        <v>6</v>
      </c>
      <c r="H691" t="s">
        <v>1157</v>
      </c>
      <c r="I691" t="s">
        <v>1158</v>
      </c>
      <c r="J691" t="s">
        <v>1159</v>
      </c>
      <c r="K691" t="s">
        <v>82</v>
      </c>
      <c r="L691" t="s">
        <v>1160</v>
      </c>
      <c r="M691">
        <v>10</v>
      </c>
      <c r="N691">
        <v>8</v>
      </c>
      <c r="O691" t="s">
        <v>40</v>
      </c>
      <c r="P691">
        <v>8</v>
      </c>
      <c r="Q691">
        <f>N691/P691</f>
      </c>
      <c r="R691" s="1">
        <v>220</v>
      </c>
      <c r="S691" s="1">
        <v>220</v>
      </c>
      <c r="T691">
        <f>IF(R691=S691,"相符","不相符")</f>
      </c>
      <c r="U691" t="s">
        <v>1159</v>
      </c>
      <c r="V691">
        <f>P691*R691</f>
      </c>
      <c r="W691">
        <f>Q691*V691</f>
      </c>
      <c r="X691">
        <v>730</v>
      </c>
      <c r="Y691" t="s">
        <v>1486</v>
      </c>
      <c r="Z691" t="s">
        <v>1480</v>
      </c>
      <c r="AA691"/>
      <c r="AB691"/>
      <c r="AC691" t="s">
        <v>49</v>
      </c>
      <c r="AD691"/>
    </row>
    <row r="692">
      <c r="A692" t="s">
        <v>30</v>
      </c>
      <c r="B692" t="s">
        <v>31</v>
      </c>
      <c r="C692" t="s">
        <v>1479</v>
      </c>
      <c r="D692" t="s">
        <v>33</v>
      </c>
      <c r="E692" t="s">
        <v>34</v>
      </c>
      <c r="F692" s="2">
        <v>46269</v>
      </c>
      <c r="G692">
        <v>7</v>
      </c>
      <c r="H692" t="s">
        <v>1104</v>
      </c>
      <c r="I692" t="s">
        <v>1105</v>
      </c>
      <c r="J692" t="s">
        <v>1106</v>
      </c>
      <c r="K692" t="s">
        <v>69</v>
      </c>
      <c r="L692" t="s">
        <v>1107</v>
      </c>
      <c r="M692">
        <v>6</v>
      </c>
      <c r="N692">
        <v>4</v>
      </c>
      <c r="O692" t="s">
        <v>40</v>
      </c>
      <c r="P692">
        <v>4</v>
      </c>
      <c r="Q692">
        <f>N692/P692</f>
      </c>
      <c r="R692" s="1">
        <v>731</v>
      </c>
      <c r="S692" s="1">
        <v>731</v>
      </c>
      <c r="T692">
        <f>IF(R692=S692,"相符","不相符")</f>
      </c>
      <c r="U692" t="s">
        <v>1106</v>
      </c>
      <c r="V692">
        <f>P692*R692</f>
      </c>
      <c r="W692">
        <f>Q692*V692</f>
      </c>
      <c r="X692">
        <v>540</v>
      </c>
      <c r="Y692" t="s">
        <v>1487</v>
      </c>
      <c r="Z692" t="s">
        <v>1480</v>
      </c>
      <c r="AA692"/>
      <c r="AB692"/>
      <c r="AC692" t="s">
        <v>43</v>
      </c>
      <c r="AD692"/>
    </row>
    <row r="693">
      <c r="A693" t="s">
        <v>30</v>
      </c>
      <c r="B693" t="s">
        <v>31</v>
      </c>
      <c r="C693" t="s">
        <v>1479</v>
      </c>
      <c r="D693" t="s">
        <v>33</v>
      </c>
      <c r="E693" t="s">
        <v>34</v>
      </c>
      <c r="F693" s="2">
        <v>46269</v>
      </c>
      <c r="G693">
        <v>8</v>
      </c>
      <c r="H693" t="s">
        <v>395</v>
      </c>
      <c r="I693" t="s">
        <v>396</v>
      </c>
      <c r="J693" t="s">
        <v>186</v>
      </c>
      <c r="K693" t="s">
        <v>69</v>
      </c>
      <c r="L693" t="s">
        <v>397</v>
      </c>
      <c r="M693">
        <v>6</v>
      </c>
      <c r="N693">
        <v>4</v>
      </c>
      <c r="O693" t="s">
        <v>40</v>
      </c>
      <c r="P693">
        <v>4</v>
      </c>
      <c r="Q693">
        <f>N693/P693</f>
      </c>
      <c r="R693" s="1">
        <v>1182</v>
      </c>
      <c r="S693" s="1">
        <v>1182</v>
      </c>
      <c r="T693">
        <f>IF(R693=S693,"相符","不相符")</f>
      </c>
      <c r="U693" t="s">
        <v>186</v>
      </c>
      <c r="V693">
        <f>P693*R693</f>
      </c>
      <c r="W693">
        <f>Q693*V693</f>
      </c>
      <c r="X693">
        <v>540</v>
      </c>
      <c r="Y693" t="s">
        <v>1487</v>
      </c>
      <c r="Z693" t="s">
        <v>1480</v>
      </c>
      <c r="AA693"/>
      <c r="AB693"/>
      <c r="AC693" t="s">
        <v>43</v>
      </c>
      <c r="AD693"/>
    </row>
    <row r="694">
      <c r="A694" t="s">
        <v>30</v>
      </c>
      <c r="B694" t="s">
        <v>189</v>
      </c>
      <c r="C694" t="s">
        <v>1488</v>
      </c>
      <c r="D694" t="s">
        <v>478</v>
      </c>
      <c r="E694" t="s">
        <v>479</v>
      </c>
      <c r="F694" s="2">
        <v>46269</v>
      </c>
      <c r="G694">
        <v>1</v>
      </c>
      <c r="H694" t="s">
        <v>745</v>
      </c>
      <c r="I694" t="s">
        <v>746</v>
      </c>
      <c r="J694" t="s">
        <v>746</v>
      </c>
      <c r="K694" t="s">
        <v>703</v>
      </c>
      <c r="L694" t="s">
        <v>747</v>
      </c>
      <c r="M694">
        <v>1920</v>
      </c>
      <c r="N694">
        <v>1920</v>
      </c>
      <c r="O694" t="s">
        <v>435</v>
      </c>
      <c r="P694">
        <v>24</v>
      </c>
      <c r="Q694">
        <f>N694/P694</f>
      </c>
      <c r="R694" s="1">
        <v>68</v>
      </c>
      <c r="S694" s="1">
        <v>68</v>
      </c>
      <c r="T694">
        <f>IF(R694=S694,"相符","不相符")</f>
      </c>
      <c r="U694"/>
      <c r="V694">
        <f>P694*R694</f>
      </c>
      <c r="W694">
        <f>Q694*V694</f>
      </c>
      <c r="X694">
        <v>1095</v>
      </c>
      <c r="Y694" t="s">
        <v>998</v>
      </c>
      <c r="Z694" t="s">
        <v>1193</v>
      </c>
      <c r="AA694"/>
      <c r="AB694"/>
      <c r="AC694" t="s">
        <v>49</v>
      </c>
      <c r="AD694"/>
    </row>
    <row r="695">
      <c r="A695" t="s">
        <v>30</v>
      </c>
      <c r="B695" t="s">
        <v>189</v>
      </c>
      <c r="C695" t="s">
        <v>1488</v>
      </c>
      <c r="D695" t="s">
        <v>478</v>
      </c>
      <c r="E695" t="s">
        <v>479</v>
      </c>
      <c r="F695" s="2">
        <v>46269</v>
      </c>
      <c r="G695">
        <v>2</v>
      </c>
      <c r="H695" t="s">
        <v>1489</v>
      </c>
      <c r="I695" t="s">
        <v>1490</v>
      </c>
      <c r="J695" t="s">
        <v>1490</v>
      </c>
      <c r="K695" t="s">
        <v>703</v>
      </c>
      <c r="L695" t="s">
        <v>1491</v>
      </c>
      <c r="M695">
        <v>1920</v>
      </c>
      <c r="N695">
        <v>456</v>
      </c>
      <c r="O695" t="s">
        <v>435</v>
      </c>
      <c r="P695">
        <v>24</v>
      </c>
      <c r="Q695">
        <f>N695/P695</f>
      </c>
      <c r="R695" s="1">
        <v>65</v>
      </c>
      <c r="S695" s="1">
        <v>65</v>
      </c>
      <c r="T695">
        <f>IF(R695=S695,"相符","不相符")</f>
      </c>
      <c r="U695"/>
      <c r="V695">
        <f>P695*R695</f>
      </c>
      <c r="W695">
        <f>Q695*V695</f>
      </c>
      <c r="X695">
        <v>1095</v>
      </c>
      <c r="Y695" t="s">
        <v>998</v>
      </c>
      <c r="Z695" t="s">
        <v>1193</v>
      </c>
      <c r="AA695"/>
      <c r="AB695"/>
      <c r="AC695" t="s">
        <v>49</v>
      </c>
      <c r="AD695"/>
    </row>
    <row r="696">
      <c r="A696" t="s">
        <v>30</v>
      </c>
      <c r="B696" t="s">
        <v>189</v>
      </c>
      <c r="C696" t="s">
        <v>1488</v>
      </c>
      <c r="D696" t="s">
        <v>478</v>
      </c>
      <c r="E696" t="s">
        <v>479</v>
      </c>
      <c r="F696" s="2">
        <v>46269</v>
      </c>
      <c r="G696">
        <v>3</v>
      </c>
      <c r="H696" t="s">
        <v>1492</v>
      </c>
      <c r="I696" t="s">
        <v>1493</v>
      </c>
      <c r="J696" t="s">
        <v>1493</v>
      </c>
      <c r="K696" t="s">
        <v>717</v>
      </c>
      <c r="L696" t="s">
        <v>1494</v>
      </c>
      <c r="M696">
        <v>200</v>
      </c>
      <c r="N696">
        <v>200</v>
      </c>
      <c r="O696" t="s">
        <v>683</v>
      </c>
      <c r="P696">
        <v>2</v>
      </c>
      <c r="Q696">
        <f>N696/P696</f>
      </c>
      <c r="R696" s="1">
        <v>516</v>
      </c>
      <c r="S696" s="1">
        <v>516</v>
      </c>
      <c r="T696">
        <f>IF(R696=S696,"相符","不相符")</f>
      </c>
      <c r="U696"/>
      <c r="V696">
        <f>P696*R696</f>
      </c>
      <c r="W696">
        <f>Q696*V696</f>
      </c>
      <c r="X696">
        <v>730</v>
      </c>
      <c r="Y696" t="s">
        <v>1495</v>
      </c>
      <c r="Z696" t="s">
        <v>1193</v>
      </c>
      <c r="AA696"/>
      <c r="AB696"/>
      <c r="AC696" t="s">
        <v>49</v>
      </c>
      <c r="AD696"/>
    </row>
    <row r="697">
      <c r="A697" t="s">
        <v>30</v>
      </c>
      <c r="B697" t="s">
        <v>189</v>
      </c>
      <c r="C697" t="s">
        <v>1488</v>
      </c>
      <c r="D697" t="s">
        <v>478</v>
      </c>
      <c r="E697" t="s">
        <v>479</v>
      </c>
      <c r="F697" s="2">
        <v>46269</v>
      </c>
      <c r="G697">
        <v>4</v>
      </c>
      <c r="H697" t="s">
        <v>1496</v>
      </c>
      <c r="I697" t="s">
        <v>1497</v>
      </c>
      <c r="J697" t="s">
        <v>1497</v>
      </c>
      <c r="K697" t="s">
        <v>657</v>
      </c>
      <c r="L697" t="s">
        <v>1498</v>
      </c>
      <c r="M697">
        <v>99</v>
      </c>
      <c r="N697">
        <v>96</v>
      </c>
      <c r="O697" t="s">
        <v>435</v>
      </c>
      <c r="P697">
        <v>6</v>
      </c>
      <c r="Q697">
        <f>N697/P697</f>
      </c>
      <c r="R697" s="1">
        <v>995</v>
      </c>
      <c r="S697" s="1">
        <v>995</v>
      </c>
      <c r="T697">
        <f>IF(R697=S697,"相符","不相符")</f>
      </c>
      <c r="U697"/>
      <c r="V697">
        <f>P697*R697</f>
      </c>
      <c r="W697">
        <f>Q697*V697</f>
      </c>
      <c r="X697">
        <v>1825</v>
      </c>
      <c r="Y697" t="s">
        <v>744</v>
      </c>
      <c r="Z697" t="s">
        <v>1193</v>
      </c>
      <c r="AA697"/>
      <c r="AB697"/>
      <c r="AC697" t="s">
        <v>49</v>
      </c>
      <c r="AD697"/>
    </row>
    <row r="698">
      <c r="A698" t="s">
        <v>30</v>
      </c>
      <c r="B698" t="s">
        <v>189</v>
      </c>
      <c r="C698" t="s">
        <v>1488</v>
      </c>
      <c r="D698" t="s">
        <v>478</v>
      </c>
      <c r="E698" t="s">
        <v>479</v>
      </c>
      <c r="F698" s="2">
        <v>46269</v>
      </c>
      <c r="G698">
        <v>5</v>
      </c>
      <c r="H698" t="s">
        <v>1499</v>
      </c>
      <c r="I698" t="s">
        <v>1500</v>
      </c>
      <c r="J698" t="s">
        <v>1500</v>
      </c>
      <c r="K698" t="s">
        <v>657</v>
      </c>
      <c r="L698" t="s">
        <v>1501</v>
      </c>
      <c r="M698">
        <v>247</v>
      </c>
      <c r="N698">
        <v>246</v>
      </c>
      <c r="O698" t="s">
        <v>435</v>
      </c>
      <c r="P698">
        <v>6</v>
      </c>
      <c r="Q698">
        <f>N698/P698</f>
      </c>
      <c r="R698" s="1">
        <v>580</v>
      </c>
      <c r="S698" s="1">
        <v>580</v>
      </c>
      <c r="T698">
        <f>IF(R698=S698,"相符","不相符")</f>
      </c>
      <c r="U698"/>
      <c r="V698">
        <f>P698*R698</f>
      </c>
      <c r="W698">
        <f>Q698*V698</f>
      </c>
      <c r="X698">
        <v>1825</v>
      </c>
      <c r="Y698" t="s">
        <v>744</v>
      </c>
      <c r="Z698" t="s">
        <v>1193</v>
      </c>
      <c r="AA698"/>
      <c r="AB698"/>
      <c r="AC698" t="s">
        <v>49</v>
      </c>
      <c r="AD698"/>
    </row>
    <row r="699">
      <c r="A699" t="s">
        <v>30</v>
      </c>
      <c r="B699" t="s">
        <v>189</v>
      </c>
      <c r="C699" t="s">
        <v>1488</v>
      </c>
      <c r="D699" t="s">
        <v>478</v>
      </c>
      <c r="E699" t="s">
        <v>479</v>
      </c>
      <c r="F699" s="2">
        <v>46269</v>
      </c>
      <c r="G699">
        <v>6</v>
      </c>
      <c r="H699" t="s">
        <v>1502</v>
      </c>
      <c r="I699" t="s">
        <v>1503</v>
      </c>
      <c r="J699" t="s">
        <v>1503</v>
      </c>
      <c r="K699" t="s">
        <v>657</v>
      </c>
      <c r="L699" t="s">
        <v>1504</v>
      </c>
      <c r="M699">
        <v>114</v>
      </c>
      <c r="N699">
        <v>108</v>
      </c>
      <c r="O699" t="s">
        <v>435</v>
      </c>
      <c r="P699">
        <v>12</v>
      </c>
      <c r="Q699">
        <f>N699/P699</f>
      </c>
      <c r="R699" s="1">
        <v>260</v>
      </c>
      <c r="S699" s="1">
        <v>260</v>
      </c>
      <c r="T699">
        <f>IF(R699=S699,"相符","不相符")</f>
      </c>
      <c r="U699"/>
      <c r="V699">
        <f>P699*R699</f>
      </c>
      <c r="W699">
        <f>Q699*V699</f>
      </c>
      <c r="X699">
        <v>1825</v>
      </c>
      <c r="Y699" t="s">
        <v>744</v>
      </c>
      <c r="Z699" t="s">
        <v>1193</v>
      </c>
      <c r="AA699"/>
      <c r="AB699"/>
      <c r="AC699" t="s">
        <v>49</v>
      </c>
      <c r="AD699"/>
    </row>
    <row r="700">
      <c r="A700" t="s">
        <v>30</v>
      </c>
      <c r="B700" t="s">
        <v>189</v>
      </c>
      <c r="C700" t="s">
        <v>1488</v>
      </c>
      <c r="D700" t="s">
        <v>478</v>
      </c>
      <c r="E700" t="s">
        <v>479</v>
      </c>
      <c r="F700" s="2">
        <v>46269</v>
      </c>
      <c r="G700">
        <v>7</v>
      </c>
      <c r="H700" t="s">
        <v>1505</v>
      </c>
      <c r="I700" t="s">
        <v>1506</v>
      </c>
      <c r="J700" t="s">
        <v>1506</v>
      </c>
      <c r="K700" t="s">
        <v>657</v>
      </c>
      <c r="L700" t="s">
        <v>1507</v>
      </c>
      <c r="M700">
        <v>142</v>
      </c>
      <c r="N700">
        <v>132</v>
      </c>
      <c r="O700" t="s">
        <v>435</v>
      </c>
      <c r="P700">
        <v>12</v>
      </c>
      <c r="Q700">
        <f>N700/P700</f>
      </c>
      <c r="R700" s="1">
        <v>435</v>
      </c>
      <c r="S700" s="1">
        <v>435</v>
      </c>
      <c r="T700">
        <f>IF(R700=S700,"相符","不相符")</f>
      </c>
      <c r="U700"/>
      <c r="V700">
        <f>P700*R700</f>
      </c>
      <c r="W700">
        <f>Q700*V700</f>
      </c>
      <c r="X700">
        <v>1825</v>
      </c>
      <c r="Y700" t="s">
        <v>744</v>
      </c>
      <c r="Z700" t="s">
        <v>1193</v>
      </c>
      <c r="AA700"/>
      <c r="AB700"/>
      <c r="AC700" t="s">
        <v>49</v>
      </c>
      <c r="AD700"/>
    </row>
    <row r="701">
      <c r="A701" t="s">
        <v>30</v>
      </c>
      <c r="B701" t="s">
        <v>189</v>
      </c>
      <c r="C701" t="s">
        <v>1488</v>
      </c>
      <c r="D701" t="s">
        <v>478</v>
      </c>
      <c r="E701" t="s">
        <v>479</v>
      </c>
      <c r="F701" s="2">
        <v>46269</v>
      </c>
      <c r="G701">
        <v>8</v>
      </c>
      <c r="H701" t="s">
        <v>1508</v>
      </c>
      <c r="I701" t="s">
        <v>1509</v>
      </c>
      <c r="J701" t="s">
        <v>1509</v>
      </c>
      <c r="K701" t="s">
        <v>657</v>
      </c>
      <c r="L701" t="s">
        <v>1510</v>
      </c>
      <c r="M701">
        <v>114</v>
      </c>
      <c r="N701">
        <v>112</v>
      </c>
      <c r="O701" t="s">
        <v>435</v>
      </c>
      <c r="P701">
        <v>4</v>
      </c>
      <c r="Q701">
        <f>N701/P701</f>
      </c>
      <c r="R701" s="1">
        <v>165</v>
      </c>
      <c r="S701" s="1">
        <v>165</v>
      </c>
      <c r="T701">
        <f>IF(R701=S701,"相符","不相符")</f>
      </c>
      <c r="U701"/>
      <c r="V701">
        <f>P701*R701</f>
      </c>
      <c r="W701">
        <f>Q701*V701</f>
      </c>
      <c r="X701">
        <v>1825</v>
      </c>
      <c r="Y701" t="s">
        <v>744</v>
      </c>
      <c r="Z701" t="s">
        <v>1193</v>
      </c>
      <c r="AA701"/>
      <c r="AB701"/>
      <c r="AC701" t="s">
        <v>49</v>
      </c>
      <c r="AD701"/>
    </row>
    <row r="702">
      <c r="A702" t="s">
        <v>30</v>
      </c>
      <c r="B702" t="s">
        <v>189</v>
      </c>
      <c r="C702" t="s">
        <v>1488</v>
      </c>
      <c r="D702" t="s">
        <v>478</v>
      </c>
      <c r="E702" t="s">
        <v>479</v>
      </c>
      <c r="F702" s="2">
        <v>46269</v>
      </c>
      <c r="G702">
        <v>9</v>
      </c>
      <c r="H702" t="s">
        <v>1511</v>
      </c>
      <c r="I702" t="s">
        <v>1512</v>
      </c>
      <c r="J702" t="s">
        <v>1512</v>
      </c>
      <c r="K702" t="s">
        <v>657</v>
      </c>
      <c r="L702" t="s">
        <v>1513</v>
      </c>
      <c r="M702">
        <v>237</v>
      </c>
      <c r="N702">
        <v>230</v>
      </c>
      <c r="O702" t="s">
        <v>435</v>
      </c>
      <c r="P702">
        <v>10</v>
      </c>
      <c r="Q702">
        <f>N702/P702</f>
      </c>
      <c r="R702" s="1">
        <v>920</v>
      </c>
      <c r="S702" s="1">
        <v>920</v>
      </c>
      <c r="T702">
        <f>IF(R702=S702,"相符","不相符")</f>
      </c>
      <c r="U702"/>
      <c r="V702">
        <f>P702*R702</f>
      </c>
      <c r="W702">
        <f>Q702*V702</f>
      </c>
      <c r="X702">
        <v>1825</v>
      </c>
      <c r="Y702" t="s">
        <v>744</v>
      </c>
      <c r="Z702" t="s">
        <v>1193</v>
      </c>
      <c r="AA702"/>
      <c r="AB702"/>
      <c r="AC702" t="s">
        <v>49</v>
      </c>
      <c r="AD702"/>
    </row>
    <row r="703">
      <c r="A703" t="s">
        <v>30</v>
      </c>
      <c r="B703" t="s">
        <v>189</v>
      </c>
      <c r="C703" t="s">
        <v>1488</v>
      </c>
      <c r="D703" t="s">
        <v>478</v>
      </c>
      <c r="E703" t="s">
        <v>479</v>
      </c>
      <c r="F703" s="2">
        <v>46269</v>
      </c>
      <c r="G703">
        <v>10</v>
      </c>
      <c r="H703" t="s">
        <v>1514</v>
      </c>
      <c r="I703" t="s">
        <v>1515</v>
      </c>
      <c r="J703" t="s">
        <v>1515</v>
      </c>
      <c r="K703" t="s">
        <v>426</v>
      </c>
      <c r="L703" t="s">
        <v>1516</v>
      </c>
      <c r="M703">
        <v>624</v>
      </c>
      <c r="N703">
        <v>624</v>
      </c>
      <c r="O703" t="s">
        <v>435</v>
      </c>
      <c r="P703">
        <v>24</v>
      </c>
      <c r="Q703">
        <f>N703/P703</f>
      </c>
      <c r="R703" s="1">
        <v>132</v>
      </c>
      <c r="S703" s="1">
        <v>132</v>
      </c>
      <c r="T703">
        <f>IF(R703=S703,"相符","不相符")</f>
      </c>
      <c r="U703"/>
      <c r="V703">
        <f>P703*R703</f>
      </c>
      <c r="W703">
        <f>Q703*V703</f>
      </c>
      <c r="X703">
        <v>730</v>
      </c>
      <c r="Y703" t="s">
        <v>1486</v>
      </c>
      <c r="Z703" t="s">
        <v>1193</v>
      </c>
      <c r="AA703"/>
      <c r="AB703"/>
      <c r="AC703" t="s">
        <v>49</v>
      </c>
      <c r="AD703"/>
    </row>
    <row r="704">
      <c r="A704" t="s">
        <v>30</v>
      </c>
      <c r="B704" t="s">
        <v>189</v>
      </c>
      <c r="C704" t="s">
        <v>1488</v>
      </c>
      <c r="D704" t="s">
        <v>478</v>
      </c>
      <c r="E704" t="s">
        <v>479</v>
      </c>
      <c r="F704" s="2">
        <v>46269</v>
      </c>
      <c r="G704">
        <v>11</v>
      </c>
      <c r="H704" t="s">
        <v>1517</v>
      </c>
      <c r="I704" t="s">
        <v>1518</v>
      </c>
      <c r="J704" t="s">
        <v>1518</v>
      </c>
      <c r="K704" t="s">
        <v>426</v>
      </c>
      <c r="L704" t="s">
        <v>1519</v>
      </c>
      <c r="M704">
        <v>1436</v>
      </c>
      <c r="N704">
        <v>1416</v>
      </c>
      <c r="O704" t="s">
        <v>435</v>
      </c>
      <c r="P704">
        <v>24</v>
      </c>
      <c r="Q704">
        <f>N704/P704</f>
      </c>
      <c r="R704" s="1">
        <v>132</v>
      </c>
      <c r="S704" s="1">
        <v>132</v>
      </c>
      <c r="T704">
        <f>IF(R704=S704,"相符","不相符")</f>
      </c>
      <c r="U704"/>
      <c r="V704">
        <f>P704*R704</f>
      </c>
      <c r="W704">
        <f>Q704*V704</f>
      </c>
      <c r="X704">
        <v>730</v>
      </c>
      <c r="Y704" t="s">
        <v>1486</v>
      </c>
      <c r="Z704" t="s">
        <v>1193</v>
      </c>
      <c r="AA704"/>
      <c r="AB704"/>
      <c r="AC704" t="s">
        <v>49</v>
      </c>
      <c r="AD704"/>
    </row>
    <row r="705">
      <c r="A705" t="s">
        <v>30</v>
      </c>
      <c r="B705" t="s">
        <v>189</v>
      </c>
      <c r="C705" t="s">
        <v>1488</v>
      </c>
      <c r="D705" t="s">
        <v>478</v>
      </c>
      <c r="E705" t="s">
        <v>479</v>
      </c>
      <c r="F705" s="2">
        <v>46269</v>
      </c>
      <c r="G705">
        <v>12</v>
      </c>
      <c r="H705" t="s">
        <v>1520</v>
      </c>
      <c r="I705" t="s">
        <v>1521</v>
      </c>
      <c r="J705" t="s">
        <v>1521</v>
      </c>
      <c r="K705" t="s">
        <v>657</v>
      </c>
      <c r="L705" t="s">
        <v>1522</v>
      </c>
      <c r="M705">
        <v>316</v>
      </c>
      <c r="N705">
        <v>300</v>
      </c>
      <c r="O705" t="s">
        <v>435</v>
      </c>
      <c r="P705">
        <v>20</v>
      </c>
      <c r="Q705">
        <f>N705/P705</f>
      </c>
      <c r="R705" s="1">
        <v>525</v>
      </c>
      <c r="S705" s="1">
        <v>525</v>
      </c>
      <c r="T705">
        <f>IF(R705=S705,"相符","不相符")</f>
      </c>
      <c r="U705"/>
      <c r="V705">
        <f>P705*R705</f>
      </c>
      <c r="W705">
        <f>Q705*V705</f>
      </c>
      <c r="X705">
        <v>1825</v>
      </c>
      <c r="Y705" t="s">
        <v>744</v>
      </c>
      <c r="Z705" t="s">
        <v>1193</v>
      </c>
      <c r="AA705"/>
      <c r="AB705"/>
      <c r="AC705" t="s">
        <v>49</v>
      </c>
      <c r="AD705"/>
    </row>
    <row r="706">
      <c r="A706" t="s">
        <v>30</v>
      </c>
      <c r="B706" t="s">
        <v>189</v>
      </c>
      <c r="C706" t="s">
        <v>1488</v>
      </c>
      <c r="D706" t="s">
        <v>478</v>
      </c>
      <c r="E706" t="s">
        <v>479</v>
      </c>
      <c r="F706" s="2">
        <v>46269</v>
      </c>
      <c r="G706">
        <v>13</v>
      </c>
      <c r="H706" t="s">
        <v>1523</v>
      </c>
      <c r="I706" t="s">
        <v>1524</v>
      </c>
      <c r="J706" t="s">
        <v>1524</v>
      </c>
      <c r="K706" t="s">
        <v>195</v>
      </c>
      <c r="L706" t="s">
        <v>1525</v>
      </c>
      <c r="M706">
        <v>588</v>
      </c>
      <c r="N706">
        <v>312</v>
      </c>
      <c r="O706" t="s">
        <v>197</v>
      </c>
      <c r="P706">
        <v>24</v>
      </c>
      <c r="Q706">
        <f>N706/P706</f>
      </c>
      <c r="R706" s="1">
        <v>47</v>
      </c>
      <c r="S706" s="1">
        <v>47</v>
      </c>
      <c r="T706">
        <f>IF(R706=S706,"相符","不相符")</f>
      </c>
      <c r="U706"/>
      <c r="V706">
        <f>P706*R706</f>
      </c>
      <c r="W706">
        <f>Q706*V706</f>
      </c>
      <c r="X706">
        <v>1095</v>
      </c>
      <c r="Y706" t="s">
        <v>1449</v>
      </c>
      <c r="Z706" t="s">
        <v>1193</v>
      </c>
      <c r="AA706"/>
      <c r="AB706"/>
      <c r="AC706" t="s">
        <v>49</v>
      </c>
      <c r="AD706"/>
    </row>
    <row r="707">
      <c r="A707" t="s">
        <v>30</v>
      </c>
      <c r="B707" t="s">
        <v>189</v>
      </c>
      <c r="C707" t="s">
        <v>1488</v>
      </c>
      <c r="D707" t="s">
        <v>478</v>
      </c>
      <c r="E707" t="s">
        <v>479</v>
      </c>
      <c r="F707" s="2">
        <v>46269</v>
      </c>
      <c r="G707">
        <v>14</v>
      </c>
      <c r="H707" t="s">
        <v>1526</v>
      </c>
      <c r="I707" t="s">
        <v>1527</v>
      </c>
      <c r="J707" t="s">
        <v>1527</v>
      </c>
      <c r="K707" t="s">
        <v>457</v>
      </c>
      <c r="L707" t="s">
        <v>1528</v>
      </c>
      <c r="M707">
        <v>438</v>
      </c>
      <c r="N707">
        <v>438</v>
      </c>
      <c r="O707" t="s">
        <v>240</v>
      </c>
      <c r="P707">
        <v>6</v>
      </c>
      <c r="Q707">
        <f>N707/P707</f>
      </c>
      <c r="R707" s="1">
        <v>183</v>
      </c>
      <c r="S707" s="1">
        <v>174</v>
      </c>
      <c r="T707">
        <f>IF(R707=S707,"相符","不相符")</f>
      </c>
      <c r="U707"/>
      <c r="V707">
        <f>P707*R707</f>
      </c>
      <c r="W707">
        <f>Q707*V707</f>
      </c>
      <c r="X707">
        <v>730</v>
      </c>
      <c r="Y707" t="s">
        <v>1486</v>
      </c>
      <c r="Z707" t="s">
        <v>1193</v>
      </c>
      <c r="AA707"/>
      <c r="AB707"/>
      <c r="AC707" t="s">
        <v>49</v>
      </c>
      <c r="AD707"/>
    </row>
    <row r="708">
      <c r="A708" t="s">
        <v>30</v>
      </c>
      <c r="B708" t="s">
        <v>189</v>
      </c>
      <c r="C708" t="s">
        <v>1488</v>
      </c>
      <c r="D708" t="s">
        <v>478</v>
      </c>
      <c r="E708" t="s">
        <v>479</v>
      </c>
      <c r="F708" s="2">
        <v>46269</v>
      </c>
      <c r="G708">
        <v>15</v>
      </c>
      <c r="H708" t="s">
        <v>1529</v>
      </c>
      <c r="I708" t="s">
        <v>1530</v>
      </c>
      <c r="J708" t="s">
        <v>1530</v>
      </c>
      <c r="K708" t="s">
        <v>457</v>
      </c>
      <c r="L708" t="s">
        <v>1531</v>
      </c>
      <c r="M708">
        <v>401</v>
      </c>
      <c r="N708">
        <v>396</v>
      </c>
      <c r="O708" t="s">
        <v>240</v>
      </c>
      <c r="P708">
        <v>6</v>
      </c>
      <c r="Q708">
        <f>N708/P708</f>
      </c>
      <c r="R708" s="1">
        <v>183</v>
      </c>
      <c r="S708" s="1">
        <v>174</v>
      </c>
      <c r="T708">
        <f>IF(R708=S708,"相符","不相符")</f>
      </c>
      <c r="U708"/>
      <c r="V708">
        <f>P708*R708</f>
      </c>
      <c r="W708">
        <f>Q708*V708</f>
      </c>
      <c r="X708">
        <v>730</v>
      </c>
      <c r="Y708" t="s">
        <v>1486</v>
      </c>
      <c r="Z708" t="s">
        <v>1193</v>
      </c>
      <c r="AA708"/>
      <c r="AB708"/>
      <c r="AC708" t="s">
        <v>49</v>
      </c>
      <c r="AD708"/>
    </row>
    <row r="709">
      <c r="A709" t="s">
        <v>30</v>
      </c>
      <c r="B709" t="s">
        <v>189</v>
      </c>
      <c r="C709" t="s">
        <v>1488</v>
      </c>
      <c r="D709" t="s">
        <v>478</v>
      </c>
      <c r="E709" t="s">
        <v>479</v>
      </c>
      <c r="F709" s="2">
        <v>46269</v>
      </c>
      <c r="G709">
        <v>16</v>
      </c>
      <c r="H709" t="s">
        <v>1532</v>
      </c>
      <c r="I709" t="s">
        <v>1533</v>
      </c>
      <c r="J709" t="s">
        <v>1533</v>
      </c>
      <c r="K709" t="s">
        <v>195</v>
      </c>
      <c r="L709" t="s">
        <v>1534</v>
      </c>
      <c r="M709">
        <v>224</v>
      </c>
      <c r="N709">
        <v>224</v>
      </c>
      <c r="O709" t="s">
        <v>177</v>
      </c>
      <c r="P709">
        <v>16</v>
      </c>
      <c r="Q709">
        <f>N709/P709</f>
      </c>
      <c r="R709" s="1">
        <v>78</v>
      </c>
      <c r="S709" s="1">
        <v>78</v>
      </c>
      <c r="T709">
        <f>IF(R709=S709,"相符","不相符")</f>
      </c>
      <c r="U709"/>
      <c r="V709">
        <f>P709*R709</f>
      </c>
      <c r="W709">
        <f>Q709*V709</f>
      </c>
      <c r="X709">
        <v>1095</v>
      </c>
      <c r="Y709" t="s">
        <v>1449</v>
      </c>
      <c r="Z709" t="s">
        <v>1193</v>
      </c>
      <c r="AA709"/>
      <c r="AB709"/>
      <c r="AC709" t="s">
        <v>49</v>
      </c>
      <c r="AD709"/>
    </row>
    <row r="710">
      <c r="A710" t="s">
        <v>30</v>
      </c>
      <c r="B710" t="s">
        <v>189</v>
      </c>
      <c r="C710" t="s">
        <v>1488</v>
      </c>
      <c r="D710" t="s">
        <v>478</v>
      </c>
      <c r="E710" t="s">
        <v>479</v>
      </c>
      <c r="F710" s="2">
        <v>46269</v>
      </c>
      <c r="G710">
        <v>17</v>
      </c>
      <c r="H710" t="s">
        <v>1535</v>
      </c>
      <c r="I710" t="s">
        <v>1536</v>
      </c>
      <c r="J710" t="s">
        <v>1536</v>
      </c>
      <c r="K710" t="s">
        <v>195</v>
      </c>
      <c r="L710" t="s">
        <v>1537</v>
      </c>
      <c r="M710">
        <v>176</v>
      </c>
      <c r="N710">
        <v>176</v>
      </c>
      <c r="O710" t="s">
        <v>177</v>
      </c>
      <c r="P710">
        <v>16</v>
      </c>
      <c r="Q710">
        <f>N710/P710</f>
      </c>
      <c r="R710" s="1">
        <v>78</v>
      </c>
      <c r="S710" s="1">
        <v>78</v>
      </c>
      <c r="T710">
        <f>IF(R710=S710,"相符","不相符")</f>
      </c>
      <c r="U710"/>
      <c r="V710">
        <f>P710*R710</f>
      </c>
      <c r="W710">
        <f>Q710*V710</f>
      </c>
      <c r="X710">
        <v>1095</v>
      </c>
      <c r="Y710" t="s">
        <v>1449</v>
      </c>
      <c r="Z710" t="s">
        <v>1193</v>
      </c>
      <c r="AA710"/>
      <c r="AB710"/>
      <c r="AC710" t="s">
        <v>49</v>
      </c>
      <c r="AD710"/>
    </row>
    <row r="711">
      <c r="A711" t="s">
        <v>30</v>
      </c>
      <c r="B711" t="s">
        <v>189</v>
      </c>
      <c r="C711" t="s">
        <v>1488</v>
      </c>
      <c r="D711" t="s">
        <v>478</v>
      </c>
      <c r="E711" t="s">
        <v>479</v>
      </c>
      <c r="F711" s="2">
        <v>46269</v>
      </c>
      <c r="G711">
        <v>18</v>
      </c>
      <c r="H711" t="s">
        <v>812</v>
      </c>
      <c r="I711" t="s">
        <v>813</v>
      </c>
      <c r="J711" t="s">
        <v>813</v>
      </c>
      <c r="K711" t="s">
        <v>195</v>
      </c>
      <c r="L711" t="s">
        <v>814</v>
      </c>
      <c r="M711">
        <v>284</v>
      </c>
      <c r="N711">
        <v>272</v>
      </c>
      <c r="O711" t="s">
        <v>177</v>
      </c>
      <c r="P711">
        <v>16</v>
      </c>
      <c r="Q711">
        <f>N711/P711</f>
      </c>
      <c r="R711" s="1">
        <v>78</v>
      </c>
      <c r="S711" s="1">
        <v>78</v>
      </c>
      <c r="T711">
        <f>IF(R711=S711,"相符","不相符")</f>
      </c>
      <c r="U711"/>
      <c r="V711">
        <f>P711*R711</f>
      </c>
      <c r="W711">
        <f>Q711*V711</f>
      </c>
      <c r="X711">
        <v>1095</v>
      </c>
      <c r="Y711" t="s">
        <v>1449</v>
      </c>
      <c r="Z711" t="s">
        <v>1193</v>
      </c>
      <c r="AA711"/>
      <c r="AB711"/>
      <c r="AC711" t="s">
        <v>49</v>
      </c>
      <c r="AD711"/>
    </row>
    <row r="712">
      <c r="A712" t="s">
        <v>30</v>
      </c>
      <c r="B712" t="s">
        <v>189</v>
      </c>
      <c r="C712" t="s">
        <v>1488</v>
      </c>
      <c r="D712" t="s">
        <v>478</v>
      </c>
      <c r="E712" t="s">
        <v>479</v>
      </c>
      <c r="F712" s="2">
        <v>46269</v>
      </c>
      <c r="G712">
        <v>19</v>
      </c>
      <c r="H712" t="s">
        <v>1538</v>
      </c>
      <c r="I712" t="s">
        <v>1539</v>
      </c>
      <c r="J712" t="s">
        <v>1539</v>
      </c>
      <c r="K712" t="s">
        <v>195</v>
      </c>
      <c r="L712" t="s">
        <v>1540</v>
      </c>
      <c r="M712">
        <v>16</v>
      </c>
      <c r="N712">
        <v>16</v>
      </c>
      <c r="O712" t="s">
        <v>683</v>
      </c>
      <c r="P712">
        <v>1</v>
      </c>
      <c r="Q712">
        <f>N712/P712</f>
      </c>
      <c r="R712" s="1">
        <v>435</v>
      </c>
      <c r="S712" s="1">
        <v>435</v>
      </c>
      <c r="T712">
        <f>IF(R712=S712,"相符","不相符")</f>
      </c>
      <c r="U712"/>
      <c r="V712">
        <f>P712*R712</f>
      </c>
      <c r="W712">
        <f>Q712*V712</f>
      </c>
      <c r="X712">
        <v>1095</v>
      </c>
      <c r="Y712" t="s">
        <v>1449</v>
      </c>
      <c r="Z712" t="s">
        <v>1193</v>
      </c>
      <c r="AA712"/>
      <c r="AB712"/>
      <c r="AC712" t="s">
        <v>49</v>
      </c>
      <c r="AD712"/>
    </row>
    <row r="713">
      <c r="A713" t="s">
        <v>30</v>
      </c>
      <c r="B713" t="s">
        <v>189</v>
      </c>
      <c r="C713" t="s">
        <v>1488</v>
      </c>
      <c r="D713" t="s">
        <v>478</v>
      </c>
      <c r="E713" t="s">
        <v>479</v>
      </c>
      <c r="F713" s="2">
        <v>46269</v>
      </c>
      <c r="G713">
        <v>20</v>
      </c>
      <c r="H713" t="s">
        <v>1541</v>
      </c>
      <c r="I713" t="s">
        <v>1542</v>
      </c>
      <c r="J713" t="s">
        <v>1542</v>
      </c>
      <c r="K713" t="s">
        <v>195</v>
      </c>
      <c r="L713" t="s">
        <v>1543</v>
      </c>
      <c r="M713">
        <v>16</v>
      </c>
      <c r="N713">
        <v>16</v>
      </c>
      <c r="O713" t="s">
        <v>683</v>
      </c>
      <c r="P713">
        <v>1</v>
      </c>
      <c r="Q713">
        <f>N713/P713</f>
      </c>
      <c r="R713" s="1">
        <v>435</v>
      </c>
      <c r="S713" s="1">
        <v>435</v>
      </c>
      <c r="T713">
        <f>IF(R713=S713,"相符","不相符")</f>
      </c>
      <c r="U713"/>
      <c r="V713">
        <f>P713*R713</f>
      </c>
      <c r="W713">
        <f>Q713*V713</f>
      </c>
      <c r="X713">
        <v>1095</v>
      </c>
      <c r="Y713" t="s">
        <v>1449</v>
      </c>
      <c r="Z713" t="s">
        <v>1193</v>
      </c>
      <c r="AA713"/>
      <c r="AB713"/>
      <c r="AC713" t="s">
        <v>49</v>
      </c>
      <c r="AD713"/>
    </row>
    <row r="714">
      <c r="A714" t="s">
        <v>30</v>
      </c>
      <c r="B714" t="s">
        <v>189</v>
      </c>
      <c r="C714" t="s">
        <v>1488</v>
      </c>
      <c r="D714" t="s">
        <v>478</v>
      </c>
      <c r="E714" t="s">
        <v>479</v>
      </c>
      <c r="F714" s="2">
        <v>46269</v>
      </c>
      <c r="G714">
        <v>21</v>
      </c>
      <c r="H714" t="s">
        <v>1544</v>
      </c>
      <c r="I714" t="s">
        <v>1545</v>
      </c>
      <c r="J714" t="s">
        <v>1545</v>
      </c>
      <c r="K714" t="s">
        <v>195</v>
      </c>
      <c r="L714" t="s">
        <v>1546</v>
      </c>
      <c r="M714">
        <v>16</v>
      </c>
      <c r="N714">
        <v>16</v>
      </c>
      <c r="O714" t="s">
        <v>683</v>
      </c>
      <c r="P714">
        <v>1</v>
      </c>
      <c r="Q714">
        <f>N714/P714</f>
      </c>
      <c r="R714" s="1">
        <v>435</v>
      </c>
      <c r="S714" s="1">
        <v>435</v>
      </c>
      <c r="T714">
        <f>IF(R714=S714,"相符","不相符")</f>
      </c>
      <c r="U714"/>
      <c r="V714">
        <f>P714*R714</f>
      </c>
      <c r="W714">
        <f>Q714*V714</f>
      </c>
      <c r="X714">
        <v>1095</v>
      </c>
      <c r="Y714" t="s">
        <v>1449</v>
      </c>
      <c r="Z714" t="s">
        <v>1193</v>
      </c>
      <c r="AA714"/>
      <c r="AB714"/>
      <c r="AC714" t="s">
        <v>49</v>
      </c>
      <c r="AD714"/>
    </row>
    <row r="715">
      <c r="A715" t="s">
        <v>30</v>
      </c>
      <c r="B715" t="s">
        <v>189</v>
      </c>
      <c r="C715" t="s">
        <v>1488</v>
      </c>
      <c r="D715" t="s">
        <v>478</v>
      </c>
      <c r="E715" t="s">
        <v>479</v>
      </c>
      <c r="F715" s="2">
        <v>46269</v>
      </c>
      <c r="G715">
        <v>22</v>
      </c>
      <c r="H715" t="s">
        <v>1547</v>
      </c>
      <c r="I715" t="s">
        <v>1548</v>
      </c>
      <c r="J715" t="s">
        <v>1548</v>
      </c>
      <c r="K715" t="s">
        <v>195</v>
      </c>
      <c r="L715" t="s">
        <v>1549</v>
      </c>
      <c r="M715">
        <v>16</v>
      </c>
      <c r="N715">
        <v>16</v>
      </c>
      <c r="O715" t="s">
        <v>683</v>
      </c>
      <c r="P715">
        <v>1</v>
      </c>
      <c r="Q715">
        <f>N715/P715</f>
      </c>
      <c r="R715" s="1">
        <v>435</v>
      </c>
      <c r="S715" s="1">
        <v>435</v>
      </c>
      <c r="T715">
        <f>IF(R715=S715,"相符","不相符")</f>
      </c>
      <c r="U715"/>
      <c r="V715">
        <f>P715*R715</f>
      </c>
      <c r="W715">
        <f>Q715*V715</f>
      </c>
      <c r="X715">
        <v>1095</v>
      </c>
      <c r="Y715" t="s">
        <v>1449</v>
      </c>
      <c r="Z715" t="s">
        <v>1193</v>
      </c>
      <c r="AA715"/>
      <c r="AB715"/>
      <c r="AC715" t="s">
        <v>49</v>
      </c>
      <c r="AD715"/>
    </row>
    <row r="716">
      <c r="A716" t="s">
        <v>30</v>
      </c>
      <c r="B716" t="s">
        <v>189</v>
      </c>
      <c r="C716" t="s">
        <v>1488</v>
      </c>
      <c r="D716" t="s">
        <v>478</v>
      </c>
      <c r="E716" t="s">
        <v>479</v>
      </c>
      <c r="F716" s="2">
        <v>46269</v>
      </c>
      <c r="G716">
        <v>23</v>
      </c>
      <c r="H716" t="s">
        <v>1550</v>
      </c>
      <c r="I716" t="s">
        <v>1551</v>
      </c>
      <c r="J716" t="s">
        <v>1551</v>
      </c>
      <c r="K716" t="s">
        <v>457</v>
      </c>
      <c r="L716" t="s">
        <v>1552</v>
      </c>
      <c r="M716">
        <v>72</v>
      </c>
      <c r="N716">
        <v>72</v>
      </c>
      <c r="O716" t="s">
        <v>177</v>
      </c>
      <c r="P716">
        <v>8</v>
      </c>
      <c r="Q716">
        <f>N716/P716</f>
      </c>
      <c r="R716" s="1">
        <v>272</v>
      </c>
      <c r="S716" s="1">
        <v>272</v>
      </c>
      <c r="T716">
        <f>IF(R716=S716,"相符","不相符")</f>
      </c>
      <c r="U716"/>
      <c r="V716">
        <f>P716*R716</f>
      </c>
      <c r="W716">
        <f>Q716*V716</f>
      </c>
      <c r="X716">
        <v>730</v>
      </c>
      <c r="Y716" t="s">
        <v>1486</v>
      </c>
      <c r="Z716" t="s">
        <v>1193</v>
      </c>
      <c r="AA716"/>
      <c r="AB716"/>
      <c r="AC716" t="s">
        <v>49</v>
      </c>
      <c r="AD716"/>
    </row>
    <row r="717">
      <c r="A717" t="s">
        <v>30</v>
      </c>
      <c r="B717" t="s">
        <v>189</v>
      </c>
      <c r="C717" t="s">
        <v>1488</v>
      </c>
      <c r="D717" t="s">
        <v>478</v>
      </c>
      <c r="E717" t="s">
        <v>479</v>
      </c>
      <c r="F717" s="2">
        <v>46269</v>
      </c>
      <c r="G717">
        <v>24</v>
      </c>
      <c r="H717" t="s">
        <v>728</v>
      </c>
      <c r="I717" t="s">
        <v>729</v>
      </c>
      <c r="J717" t="s">
        <v>729</v>
      </c>
      <c r="K717" t="s">
        <v>457</v>
      </c>
      <c r="L717" t="s">
        <v>730</v>
      </c>
      <c r="M717">
        <v>96</v>
      </c>
      <c r="N717">
        <v>96</v>
      </c>
      <c r="O717" t="s">
        <v>177</v>
      </c>
      <c r="P717">
        <v>8</v>
      </c>
      <c r="Q717">
        <f>N717/P717</f>
      </c>
      <c r="R717" s="1">
        <v>272</v>
      </c>
      <c r="S717" s="1">
        <v>272</v>
      </c>
      <c r="T717">
        <f>IF(R717=S717,"相符","不相符")</f>
      </c>
      <c r="U717"/>
      <c r="V717">
        <f>P717*R717</f>
      </c>
      <c r="W717">
        <f>Q717*V717</f>
      </c>
      <c r="X717">
        <v>730</v>
      </c>
      <c r="Y717" t="s">
        <v>1486</v>
      </c>
      <c r="Z717" t="s">
        <v>1193</v>
      </c>
      <c r="AA717"/>
      <c r="AB717"/>
      <c r="AC717" t="s">
        <v>49</v>
      </c>
      <c r="AD717"/>
    </row>
    <row r="718">
      <c r="A718" t="s">
        <v>30</v>
      </c>
      <c r="B718" t="s">
        <v>189</v>
      </c>
      <c r="C718" t="s">
        <v>1488</v>
      </c>
      <c r="D718" t="s">
        <v>478</v>
      </c>
      <c r="E718" t="s">
        <v>479</v>
      </c>
      <c r="F718" s="2">
        <v>46269</v>
      </c>
      <c r="G718">
        <v>25</v>
      </c>
      <c r="H718" t="s">
        <v>1553</v>
      </c>
      <c r="I718" t="s">
        <v>1554</v>
      </c>
      <c r="J718" t="s">
        <v>1554</v>
      </c>
      <c r="K718" t="s">
        <v>195</v>
      </c>
      <c r="L718" t="s">
        <v>1555</v>
      </c>
      <c r="M718">
        <v>352</v>
      </c>
      <c r="N718">
        <v>352</v>
      </c>
      <c r="O718" t="s">
        <v>177</v>
      </c>
      <c r="P718">
        <v>16</v>
      </c>
      <c r="Q718">
        <f>N718/P718</f>
      </c>
      <c r="R718" s="1">
        <v>78</v>
      </c>
      <c r="S718" s="1">
        <v>78</v>
      </c>
      <c r="T718">
        <f>IF(R718=S718,"相符","不相符")</f>
      </c>
      <c r="U718"/>
      <c r="V718">
        <f>P718*R718</f>
      </c>
      <c r="W718">
        <f>Q718*V718</f>
      </c>
      <c r="X718">
        <v>1095</v>
      </c>
      <c r="Y718" t="s">
        <v>1449</v>
      </c>
      <c r="Z718" t="s">
        <v>1193</v>
      </c>
      <c r="AA718"/>
      <c r="AB718"/>
      <c r="AC718" t="s">
        <v>49</v>
      </c>
      <c r="AD718"/>
    </row>
    <row r="719">
      <c r="A719" t="s">
        <v>30</v>
      </c>
      <c r="B719" t="s">
        <v>233</v>
      </c>
      <c r="C719" t="s">
        <v>1556</v>
      </c>
      <c r="D719" t="s">
        <v>33</v>
      </c>
      <c r="E719" t="s">
        <v>34</v>
      </c>
      <c r="F719" s="2">
        <v>46286</v>
      </c>
      <c r="G719">
        <v>1</v>
      </c>
      <c r="H719" t="s">
        <v>1557</v>
      </c>
      <c r="I719" t="s">
        <v>1558</v>
      </c>
      <c r="J719" t="s">
        <v>1559</v>
      </c>
      <c r="K719" t="s">
        <v>238</v>
      </c>
      <c r="L719" t="s">
        <v>1560</v>
      </c>
      <c r="M719">
        <v>1</v>
      </c>
      <c r="N719">
        <v>1</v>
      </c>
      <c r="O719" t="s">
        <v>240</v>
      </c>
      <c r="P719">
        <v>12</v>
      </c>
      <c r="Q719">
        <f>N719/P719</f>
      </c>
      <c r="R719" s="1">
        <v>100</v>
      </c>
      <c r="S719" s="1">
        <v>100</v>
      </c>
      <c r="T719">
        <f>IF(R719=S719,"相符","不相符")</f>
      </c>
      <c r="U719"/>
      <c r="V719">
        <f>P719*R719</f>
      </c>
      <c r="W719">
        <f>Q719*V719</f>
      </c>
      <c r="X719">
        <v>1095</v>
      </c>
      <c r="Y719" t="s">
        <v>616</v>
      </c>
      <c r="Z719" t="s">
        <v>1561</v>
      </c>
      <c r="AA719"/>
      <c r="AB719"/>
      <c r="AC719" t="s">
        <v>243</v>
      </c>
      <c r="AD719"/>
    </row>
    <row r="720">
      <c r="A720" t="s">
        <v>30</v>
      </c>
      <c r="B720" t="s">
        <v>233</v>
      </c>
      <c r="C720" t="s">
        <v>1556</v>
      </c>
      <c r="D720" t="s">
        <v>33</v>
      </c>
      <c r="E720" t="s">
        <v>34</v>
      </c>
      <c r="F720" s="2">
        <v>46286</v>
      </c>
      <c r="G720">
        <v>2</v>
      </c>
      <c r="H720" t="s">
        <v>1562</v>
      </c>
      <c r="I720" t="s">
        <v>1563</v>
      </c>
      <c r="J720" t="s">
        <v>1559</v>
      </c>
      <c r="K720" t="s">
        <v>238</v>
      </c>
      <c r="L720" t="s">
        <v>1564</v>
      </c>
      <c r="M720">
        <v>24</v>
      </c>
      <c r="N720">
        <v>24</v>
      </c>
      <c r="O720" t="s">
        <v>84</v>
      </c>
      <c r="P720">
        <v>1</v>
      </c>
      <c r="Q720">
        <f>N720/P720</f>
      </c>
      <c r="R720" s="1">
        <v>1200</v>
      </c>
      <c r="S720" s="1">
        <v>1200</v>
      </c>
      <c r="T720">
        <f>IF(R720=S720,"相符","不相符")</f>
      </c>
      <c r="U720"/>
      <c r="V720">
        <f>P720*R720</f>
      </c>
      <c r="W720">
        <f>Q720*V720</f>
      </c>
      <c r="X720">
        <v>1095</v>
      </c>
      <c r="Y720" t="s">
        <v>616</v>
      </c>
      <c r="Z720" t="s">
        <v>1561</v>
      </c>
      <c r="AA720"/>
      <c r="AB720"/>
      <c r="AC720" t="s">
        <v>243</v>
      </c>
      <c r="AD720"/>
    </row>
    <row r="721">
      <c r="A721" t="s">
        <v>30</v>
      </c>
      <c r="B721" t="s">
        <v>233</v>
      </c>
      <c r="C721" t="s">
        <v>1556</v>
      </c>
      <c r="D721" t="s">
        <v>33</v>
      </c>
      <c r="E721" t="s">
        <v>34</v>
      </c>
      <c r="F721" s="2">
        <v>46286</v>
      </c>
      <c r="G721">
        <v>3</v>
      </c>
      <c r="H721" t="s">
        <v>1565</v>
      </c>
      <c r="I721" t="s">
        <v>1566</v>
      </c>
      <c r="J721" t="s">
        <v>872</v>
      </c>
      <c r="K721" t="s">
        <v>238</v>
      </c>
      <c r="L721" t="s">
        <v>1567</v>
      </c>
      <c r="M721">
        <v>1</v>
      </c>
      <c r="N721">
        <v>1</v>
      </c>
      <c r="O721" t="s">
        <v>84</v>
      </c>
      <c r="P721">
        <v>1</v>
      </c>
      <c r="Q721">
        <f>N721/P721</f>
      </c>
      <c r="R721" s="1">
        <v>696</v>
      </c>
      <c r="S721" s="1">
        <v>696</v>
      </c>
      <c r="T721">
        <f>IF(R721=S721,"相符","不相符")</f>
      </c>
      <c r="U721"/>
      <c r="V721">
        <f>P721*R721</f>
      </c>
      <c r="W721">
        <f>Q721*V721</f>
      </c>
      <c r="X721">
        <v>1095</v>
      </c>
      <c r="Y721" t="s">
        <v>625</v>
      </c>
      <c r="Z721" t="s">
        <v>1561</v>
      </c>
      <c r="AA721"/>
      <c r="AB721"/>
      <c r="AC721" t="s">
        <v>243</v>
      </c>
      <c r="AD721"/>
    </row>
    <row r="722">
      <c r="A722" t="s">
        <v>30</v>
      </c>
      <c r="B722" t="s">
        <v>233</v>
      </c>
      <c r="C722" t="s">
        <v>1568</v>
      </c>
      <c r="D722" t="s">
        <v>191</v>
      </c>
      <c r="E722" t="s">
        <v>192</v>
      </c>
      <c r="F722" s="2">
        <v>46287</v>
      </c>
      <c r="G722">
        <v>1</v>
      </c>
      <c r="H722" t="s">
        <v>278</v>
      </c>
      <c r="I722" t="s">
        <v>279</v>
      </c>
      <c r="J722" t="s">
        <v>280</v>
      </c>
      <c r="K722" t="s">
        <v>238</v>
      </c>
      <c r="L722" t="s">
        <v>281</v>
      </c>
      <c r="M722">
        <v>660</v>
      </c>
      <c r="N722">
        <v>660</v>
      </c>
      <c r="O722" t="s">
        <v>177</v>
      </c>
      <c r="P722">
        <v>12</v>
      </c>
      <c r="Q722">
        <f>N722/P722</f>
      </c>
      <c r="R722" s="1">
        <v>74</v>
      </c>
      <c r="S722" s="1">
        <v>74</v>
      </c>
      <c r="T722">
        <f>IF(R722=S722,"相符","不相符")</f>
      </c>
      <c r="U722"/>
      <c r="V722">
        <f>P722*R722</f>
      </c>
      <c r="W722">
        <f>Q722*V722</f>
      </c>
      <c r="X722">
        <v>1095</v>
      </c>
      <c r="Y722" t="s">
        <v>894</v>
      </c>
      <c r="Z722" t="s">
        <v>1569</v>
      </c>
      <c r="AA722"/>
      <c r="AB722"/>
      <c r="AC722" t="s">
        <v>243</v>
      </c>
      <c r="AD722"/>
    </row>
    <row r="723">
      <c r="A723" t="s">
        <v>30</v>
      </c>
      <c r="B723" t="s">
        <v>31</v>
      </c>
      <c r="C723" t="s">
        <v>1570</v>
      </c>
      <c r="D723" t="s">
        <v>478</v>
      </c>
      <c r="E723" t="s">
        <v>479</v>
      </c>
      <c r="F723" s="2">
        <v>46274</v>
      </c>
      <c r="G723">
        <v>1</v>
      </c>
      <c r="H723" t="s">
        <v>1571</v>
      </c>
      <c r="I723" t="s">
        <v>1572</v>
      </c>
      <c r="J723" t="s">
        <v>1573</v>
      </c>
      <c r="K723" t="s">
        <v>57</v>
      </c>
      <c r="L723" t="s">
        <v>1574</v>
      </c>
      <c r="M723">
        <v>5</v>
      </c>
      <c r="N723">
        <v>5</v>
      </c>
      <c r="O723" t="s">
        <v>84</v>
      </c>
      <c r="P723">
        <v>1</v>
      </c>
      <c r="Q723">
        <f>N723/P723</f>
      </c>
      <c r="R723" s="1">
        <v>438</v>
      </c>
      <c r="S723" s="1">
        <v>438</v>
      </c>
      <c r="T723">
        <f>IF(R723=S723,"相符","不相符")</f>
      </c>
      <c r="U723" t="s">
        <v>1573</v>
      </c>
      <c r="V723">
        <f>P723*R723</f>
      </c>
      <c r="W723">
        <f>Q723*V723</f>
      </c>
      <c r="X723">
        <v>730</v>
      </c>
      <c r="Y723" t="s">
        <v>955</v>
      </c>
      <c r="Z723" t="s">
        <v>1575</v>
      </c>
      <c r="AA723"/>
      <c r="AB723"/>
      <c r="AC723" t="s">
        <v>43</v>
      </c>
      <c r="AD723"/>
    </row>
    <row r="724">
      <c r="A724" t="s">
        <v>30</v>
      </c>
      <c r="B724" t="s">
        <v>31</v>
      </c>
      <c r="C724" t="s">
        <v>1576</v>
      </c>
      <c r="D724" t="s">
        <v>478</v>
      </c>
      <c r="E724" t="s">
        <v>479</v>
      </c>
      <c r="F724" s="2">
        <v>46274</v>
      </c>
      <c r="G724">
        <v>1</v>
      </c>
      <c r="H724" t="s">
        <v>1577</v>
      </c>
      <c r="I724" t="s">
        <v>1578</v>
      </c>
      <c r="J724" t="s">
        <v>1579</v>
      </c>
      <c r="K724" t="s">
        <v>75</v>
      </c>
      <c r="L724" t="s">
        <v>1580</v>
      </c>
      <c r="M724">
        <v>52</v>
      </c>
      <c r="N724">
        <v>36</v>
      </c>
      <c r="O724" t="s">
        <v>40</v>
      </c>
      <c r="P724">
        <v>18</v>
      </c>
      <c r="Q724">
        <f>N724/P724</f>
      </c>
      <c r="R724" s="1">
        <v>261</v>
      </c>
      <c r="S724" s="1">
        <v>261</v>
      </c>
      <c r="T724">
        <f>IF(R724=S724,"相符","不相符")</f>
      </c>
      <c r="U724" t="s">
        <v>1581</v>
      </c>
      <c r="V724">
        <f>P724*R724</f>
      </c>
      <c r="W724">
        <f>Q724*V724</f>
      </c>
      <c r="X724">
        <v>365</v>
      </c>
      <c r="Y724" t="s">
        <v>1004</v>
      </c>
      <c r="Z724" t="s">
        <v>1138</v>
      </c>
      <c r="AA724"/>
      <c r="AB724"/>
      <c r="AC724" t="s">
        <v>43</v>
      </c>
      <c r="AD724"/>
    </row>
    <row r="725">
      <c r="A725" t="s">
        <v>30</v>
      </c>
      <c r="B725" t="s">
        <v>31</v>
      </c>
      <c r="C725" t="s">
        <v>1582</v>
      </c>
      <c r="D725" t="s">
        <v>478</v>
      </c>
      <c r="E725" t="s">
        <v>479</v>
      </c>
      <c r="F725" s="2">
        <v>46274</v>
      </c>
      <c r="G725">
        <v>1</v>
      </c>
      <c r="H725" t="s">
        <v>103</v>
      </c>
      <c r="I725" t="s">
        <v>104</v>
      </c>
      <c r="J725" t="s">
        <v>105</v>
      </c>
      <c r="K725" t="s">
        <v>69</v>
      </c>
      <c r="L725" t="s">
        <v>106</v>
      </c>
      <c r="M725">
        <v>100</v>
      </c>
      <c r="N725">
        <v>100</v>
      </c>
      <c r="O725" t="s">
        <v>40</v>
      </c>
      <c r="P725">
        <v>4</v>
      </c>
      <c r="Q725">
        <f>N725/P725</f>
      </c>
      <c r="R725" s="1">
        <v>731</v>
      </c>
      <c r="S725" s="1">
        <v>731</v>
      </c>
      <c r="T725">
        <f>IF(R725=S725,"相符","不相符")</f>
      </c>
      <c r="U725" t="s">
        <v>107</v>
      </c>
      <c r="V725">
        <f>P725*R725</f>
      </c>
      <c r="W725">
        <f>Q725*V725</f>
      </c>
      <c r="X725">
        <v>540</v>
      </c>
      <c r="Y725" t="s">
        <v>971</v>
      </c>
      <c r="Z725" t="s">
        <v>1151</v>
      </c>
      <c r="AA725"/>
      <c r="AB725"/>
      <c r="AC725" t="s">
        <v>43</v>
      </c>
      <c r="AD725"/>
    </row>
    <row r="726">
      <c r="A726" t="s">
        <v>30</v>
      </c>
      <c r="B726" t="s">
        <v>233</v>
      </c>
      <c r="C726" t="s">
        <v>1583</v>
      </c>
      <c r="D726" t="s">
        <v>191</v>
      </c>
      <c r="E726" t="s">
        <v>192</v>
      </c>
      <c r="F726" s="2">
        <v>46283</v>
      </c>
      <c r="G726">
        <v>1</v>
      </c>
      <c r="H726" t="s">
        <v>1391</v>
      </c>
      <c r="I726" t="s">
        <v>1392</v>
      </c>
      <c r="J726" t="s">
        <v>1393</v>
      </c>
      <c r="K726" t="s">
        <v>238</v>
      </c>
      <c r="L726" t="s">
        <v>1394</v>
      </c>
      <c r="M726">
        <v>732</v>
      </c>
      <c r="N726">
        <v>732</v>
      </c>
      <c r="O726" t="s">
        <v>240</v>
      </c>
      <c r="P726">
        <v>12</v>
      </c>
      <c r="Q726">
        <f>N726/P726</f>
      </c>
      <c r="R726" s="1">
        <v>87</v>
      </c>
      <c r="S726" s="1">
        <v>87</v>
      </c>
      <c r="T726">
        <f>IF(R726=S726,"相符","不相符")</f>
      </c>
      <c r="U726"/>
      <c r="V726">
        <f>P726*R726</f>
      </c>
      <c r="W726">
        <f>Q726*V726</f>
      </c>
      <c r="X726">
        <v>1095</v>
      </c>
      <c r="Y726" t="s">
        <v>1447</v>
      </c>
      <c r="Z726" t="s">
        <v>1584</v>
      </c>
      <c r="AA726"/>
      <c r="AB726"/>
      <c r="AC726" t="s">
        <v>243</v>
      </c>
      <c r="AD726"/>
    </row>
    <row r="727">
      <c r="A727" t="s">
        <v>30</v>
      </c>
      <c r="B727" t="s">
        <v>233</v>
      </c>
      <c r="C727" t="s">
        <v>1585</v>
      </c>
      <c r="D727" t="s">
        <v>191</v>
      </c>
      <c r="E727" t="s">
        <v>192</v>
      </c>
      <c r="F727" s="2">
        <v>46283</v>
      </c>
      <c r="G727">
        <v>1</v>
      </c>
      <c r="H727" t="s">
        <v>284</v>
      </c>
      <c r="I727" t="s">
        <v>285</v>
      </c>
      <c r="J727" t="s">
        <v>286</v>
      </c>
      <c r="K727" t="s">
        <v>238</v>
      </c>
      <c r="L727" t="s">
        <v>287</v>
      </c>
      <c r="M727">
        <v>492</v>
      </c>
      <c r="N727">
        <v>492</v>
      </c>
      <c r="O727" t="s">
        <v>240</v>
      </c>
      <c r="P727">
        <v>12</v>
      </c>
      <c r="Q727">
        <f>N727/P727</f>
      </c>
      <c r="R727" s="1">
        <v>64</v>
      </c>
      <c r="S727" s="1">
        <v>64</v>
      </c>
      <c r="T727">
        <f>IF(R727=S727,"相符","不相符")</f>
      </c>
      <c r="U727"/>
      <c r="V727">
        <f>P727*R727</f>
      </c>
      <c r="W727">
        <f>Q727*V727</f>
      </c>
      <c r="X727">
        <v>1095</v>
      </c>
      <c r="Y727" t="s">
        <v>1447</v>
      </c>
      <c r="Z727" t="s">
        <v>1586</v>
      </c>
      <c r="AA727"/>
      <c r="AB727"/>
      <c r="AC727" t="s">
        <v>243</v>
      </c>
      <c r="AD727"/>
    </row>
    <row r="728">
      <c r="A728" t="s">
        <v>30</v>
      </c>
      <c r="B728" t="s">
        <v>233</v>
      </c>
      <c r="C728" t="s">
        <v>1587</v>
      </c>
      <c r="D728" t="s">
        <v>191</v>
      </c>
      <c r="E728" t="s">
        <v>192</v>
      </c>
      <c r="F728" s="2">
        <v>46283</v>
      </c>
      <c r="G728">
        <v>1</v>
      </c>
      <c r="H728" t="s">
        <v>284</v>
      </c>
      <c r="I728" t="s">
        <v>285</v>
      </c>
      <c r="J728" t="s">
        <v>286</v>
      </c>
      <c r="K728" t="s">
        <v>238</v>
      </c>
      <c r="L728" t="s">
        <v>287</v>
      </c>
      <c r="M728">
        <v>732</v>
      </c>
      <c r="N728">
        <v>732</v>
      </c>
      <c r="O728" t="s">
        <v>240</v>
      </c>
      <c r="P728">
        <v>12</v>
      </c>
      <c r="Q728">
        <f>N728/P728</f>
      </c>
      <c r="R728" s="1">
        <v>64</v>
      </c>
      <c r="S728" s="1">
        <v>64</v>
      </c>
      <c r="T728">
        <f>IF(R728=S728,"相符","不相符")</f>
      </c>
      <c r="U728"/>
      <c r="V728">
        <f>P728*R728</f>
      </c>
      <c r="W728">
        <f>Q728*V728</f>
      </c>
      <c r="X728">
        <v>1095</v>
      </c>
      <c r="Y728" t="s">
        <v>1447</v>
      </c>
      <c r="Z728" t="s">
        <v>1584</v>
      </c>
      <c r="AA728"/>
      <c r="AB728"/>
      <c r="AC728" t="s">
        <v>243</v>
      </c>
      <c r="AD728"/>
    </row>
    <row r="729">
      <c r="A729" t="s">
        <v>30</v>
      </c>
      <c r="B729" t="s">
        <v>233</v>
      </c>
      <c r="C729" t="s">
        <v>1588</v>
      </c>
      <c r="D729" t="s">
        <v>33</v>
      </c>
      <c r="E729" t="s">
        <v>34</v>
      </c>
      <c r="F729" s="2">
        <v>46268</v>
      </c>
      <c r="G729">
        <v>1</v>
      </c>
      <c r="H729" t="s">
        <v>235</v>
      </c>
      <c r="I729" t="s">
        <v>236</v>
      </c>
      <c r="J729" t="s">
        <v>237</v>
      </c>
      <c r="K729" t="s">
        <v>238</v>
      </c>
      <c r="L729" t="s">
        <v>239</v>
      </c>
      <c r="M729">
        <v>1200</v>
      </c>
      <c r="N729">
        <v>1200</v>
      </c>
      <c r="O729" t="s">
        <v>240</v>
      </c>
      <c r="P729">
        <v>6</v>
      </c>
      <c r="Q729">
        <f>N729/P729</f>
      </c>
      <c r="R729" s="1">
        <v>167</v>
      </c>
      <c r="S729" s="1">
        <v>167</v>
      </c>
      <c r="T729">
        <f>IF(R729=S729,"相符","不相符")</f>
      </c>
      <c r="U729"/>
      <c r="V729">
        <f>P729*R729</f>
      </c>
      <c r="W729">
        <f>Q729*V729</f>
      </c>
      <c r="X729">
        <v>1095</v>
      </c>
      <c r="Y729" t="s">
        <v>1589</v>
      </c>
      <c r="Z729" t="s">
        <v>1590</v>
      </c>
      <c r="AA729"/>
      <c r="AB729"/>
      <c r="AC729" t="s">
        <v>243</v>
      </c>
      <c r="AD729"/>
    </row>
    <row r="730">
      <c r="A730" t="s">
        <v>30</v>
      </c>
      <c r="B730" t="s">
        <v>189</v>
      </c>
      <c r="C730" t="s">
        <v>1591</v>
      </c>
      <c r="D730" t="s">
        <v>262</v>
      </c>
      <c r="E730" t="s">
        <v>263</v>
      </c>
      <c r="F730" s="2">
        <v>46267</v>
      </c>
      <c r="G730">
        <v>1</v>
      </c>
      <c r="H730" t="s">
        <v>1074</v>
      </c>
      <c r="I730" t="s">
        <v>1075</v>
      </c>
      <c r="J730" t="s">
        <v>649</v>
      </c>
      <c r="K730" t="s">
        <v>419</v>
      </c>
      <c r="L730" t="s">
        <v>1076</v>
      </c>
      <c r="M730">
        <v>254</v>
      </c>
      <c r="N730">
        <v>254</v>
      </c>
      <c r="O730" t="s">
        <v>84</v>
      </c>
      <c r="P730">
        <v>1</v>
      </c>
      <c r="Q730">
        <f>N730/P730</f>
      </c>
      <c r="R730" s="1">
        <v>1175</v>
      </c>
      <c r="S730" s="1">
        <v>1175</v>
      </c>
      <c r="T730">
        <f>IF(R730=S730,"相符","不相符")</f>
      </c>
      <c r="U730"/>
      <c r="V730">
        <f>P730*R730</f>
      </c>
      <c r="W730">
        <f>Q730*V730</f>
      </c>
      <c r="X730">
        <v>1095</v>
      </c>
      <c r="Y730" t="s">
        <v>1592</v>
      </c>
      <c r="Z730" t="s">
        <v>1593</v>
      </c>
      <c r="AA730"/>
      <c r="AB730"/>
      <c r="AC730" t="s">
        <v>49</v>
      </c>
      <c r="AD730"/>
    </row>
    <row r="731">
      <c r="A731" t="s">
        <v>30</v>
      </c>
      <c r="B731" t="s">
        <v>189</v>
      </c>
      <c r="C731" t="s">
        <v>1594</v>
      </c>
      <c r="D731" t="s">
        <v>262</v>
      </c>
      <c r="E731" t="s">
        <v>263</v>
      </c>
      <c r="F731" s="2">
        <v>46268</v>
      </c>
      <c r="G731">
        <v>1</v>
      </c>
      <c r="H731" t="s">
        <v>1074</v>
      </c>
      <c r="I731" t="s">
        <v>1075</v>
      </c>
      <c r="J731" t="s">
        <v>649</v>
      </c>
      <c r="K731" t="s">
        <v>419</v>
      </c>
      <c r="L731" t="s">
        <v>1076</v>
      </c>
      <c r="M731">
        <v>54</v>
      </c>
      <c r="N731">
        <v>54</v>
      </c>
      <c r="O731" t="s">
        <v>84</v>
      </c>
      <c r="P731">
        <v>1</v>
      </c>
      <c r="Q731">
        <f>N731/P731</f>
      </c>
      <c r="R731" s="1">
        <v>1175</v>
      </c>
      <c r="S731" s="1">
        <v>1175</v>
      </c>
      <c r="T731">
        <f>IF(R731=S731,"相符","不相符")</f>
      </c>
      <c r="U731"/>
      <c r="V731">
        <f>P731*R731</f>
      </c>
      <c r="W731">
        <f>Q731*V731</f>
      </c>
      <c r="X731">
        <v>1095</v>
      </c>
      <c r="Y731" t="s">
        <v>1589</v>
      </c>
      <c r="Z731" t="s">
        <v>1593</v>
      </c>
      <c r="AA731"/>
      <c r="AB731"/>
      <c r="AC731" t="s">
        <v>49</v>
      </c>
      <c r="AD731"/>
    </row>
    <row r="732">
      <c r="A732" t="s">
        <v>30</v>
      </c>
      <c r="B732" t="s">
        <v>189</v>
      </c>
      <c r="C732" t="s">
        <v>1595</v>
      </c>
      <c r="D732" t="s">
        <v>262</v>
      </c>
      <c r="E732" t="s">
        <v>263</v>
      </c>
      <c r="F732" s="2">
        <v>46268</v>
      </c>
      <c r="G732">
        <v>1</v>
      </c>
      <c r="H732" t="s">
        <v>1074</v>
      </c>
      <c r="I732" t="s">
        <v>1075</v>
      </c>
      <c r="J732" t="s">
        <v>649</v>
      </c>
      <c r="K732" t="s">
        <v>419</v>
      </c>
      <c r="L732" t="s">
        <v>1076</v>
      </c>
      <c r="M732">
        <v>54</v>
      </c>
      <c r="N732">
        <v>54</v>
      </c>
      <c r="O732" t="s">
        <v>84</v>
      </c>
      <c r="P732">
        <v>1</v>
      </c>
      <c r="Q732">
        <f>N732/P732</f>
      </c>
      <c r="R732" s="1">
        <v>1175</v>
      </c>
      <c r="S732" s="1">
        <v>1175</v>
      </c>
      <c r="T732">
        <f>IF(R732=S732,"相符","不相符")</f>
      </c>
      <c r="U732"/>
      <c r="V732">
        <f>P732*R732</f>
      </c>
      <c r="W732">
        <f>Q732*V732</f>
      </c>
      <c r="X732">
        <v>1095</v>
      </c>
      <c r="Y732" t="s">
        <v>1589</v>
      </c>
      <c r="Z732" t="s">
        <v>1593</v>
      </c>
      <c r="AA732"/>
      <c r="AB732"/>
      <c r="AC732" t="s">
        <v>49</v>
      </c>
      <c r="AD732"/>
    </row>
    <row r="733">
      <c r="A733" t="s">
        <v>30</v>
      </c>
      <c r="B733" t="s">
        <v>189</v>
      </c>
      <c r="C733" t="s">
        <v>1596</v>
      </c>
      <c r="D733" t="s">
        <v>262</v>
      </c>
      <c r="E733" t="s">
        <v>263</v>
      </c>
      <c r="F733" s="2">
        <v>46268</v>
      </c>
      <c r="G733">
        <v>1</v>
      </c>
      <c r="H733" t="s">
        <v>1074</v>
      </c>
      <c r="I733" t="s">
        <v>1075</v>
      </c>
      <c r="J733" t="s">
        <v>649</v>
      </c>
      <c r="K733" t="s">
        <v>419</v>
      </c>
      <c r="L733" t="s">
        <v>1076</v>
      </c>
      <c r="M733">
        <v>54</v>
      </c>
      <c r="N733">
        <v>54</v>
      </c>
      <c r="O733" t="s">
        <v>84</v>
      </c>
      <c r="P733">
        <v>1</v>
      </c>
      <c r="Q733">
        <f>N733/P733</f>
      </c>
      <c r="R733" s="1">
        <v>1175</v>
      </c>
      <c r="S733" s="1">
        <v>1175</v>
      </c>
      <c r="T733">
        <f>IF(R733=S733,"相符","不相符")</f>
      </c>
      <c r="U733"/>
      <c r="V733">
        <f>P733*R733</f>
      </c>
      <c r="W733">
        <f>Q733*V733</f>
      </c>
      <c r="X733">
        <v>1095</v>
      </c>
      <c r="Y733" t="s">
        <v>1589</v>
      </c>
      <c r="Z733" t="s">
        <v>1593</v>
      </c>
      <c r="AA733"/>
      <c r="AB733"/>
      <c r="AC733" t="s">
        <v>49</v>
      </c>
      <c r="AD733"/>
    </row>
    <row r="734">
      <c r="A734" t="s">
        <v>30</v>
      </c>
      <c r="B734" t="s">
        <v>233</v>
      </c>
      <c r="C734" t="s">
        <v>1597</v>
      </c>
      <c r="D734" t="s">
        <v>33</v>
      </c>
      <c r="E734" t="s">
        <v>34</v>
      </c>
      <c r="F734" s="2">
        <v>46268</v>
      </c>
      <c r="G734">
        <v>1</v>
      </c>
      <c r="H734" t="s">
        <v>480</v>
      </c>
      <c r="I734" t="s">
        <v>481</v>
      </c>
      <c r="J734" t="s">
        <v>482</v>
      </c>
      <c r="K734" t="s">
        <v>238</v>
      </c>
      <c r="L734" t="s">
        <v>483</v>
      </c>
      <c r="M734">
        <v>264</v>
      </c>
      <c r="N734">
        <v>264</v>
      </c>
      <c r="O734" t="s">
        <v>240</v>
      </c>
      <c r="P734">
        <v>6</v>
      </c>
      <c r="Q734">
        <f>N734/P734</f>
      </c>
      <c r="R734" s="1">
        <v>167</v>
      </c>
      <c r="S734" s="1">
        <v>167</v>
      </c>
      <c r="T734">
        <f>IF(R734=S734,"相符","不相符")</f>
      </c>
      <c r="U734"/>
      <c r="V734">
        <f>P734*R734</f>
      </c>
      <c r="W734">
        <f>Q734*V734</f>
      </c>
      <c r="X734">
        <v>1095</v>
      </c>
      <c r="Y734" t="s">
        <v>1598</v>
      </c>
      <c r="Z734" t="s">
        <v>1599</v>
      </c>
      <c r="AA734"/>
      <c r="AB734"/>
      <c r="AC734" t="s">
        <v>243</v>
      </c>
      <c r="AD734"/>
    </row>
    <row r="735">
      <c r="A735" t="s">
        <v>30</v>
      </c>
      <c r="B735" t="s">
        <v>254</v>
      </c>
      <c r="C735" t="s">
        <v>1597</v>
      </c>
      <c r="D735" t="s">
        <v>33</v>
      </c>
      <c r="E735" t="s">
        <v>34</v>
      </c>
      <c r="F735" s="2">
        <v>46268</v>
      </c>
      <c r="G735">
        <v>2</v>
      </c>
      <c r="H735" t="s">
        <v>272</v>
      </c>
      <c r="I735" t="s">
        <v>273</v>
      </c>
      <c r="J735" t="s">
        <v>274</v>
      </c>
      <c r="K735" t="s">
        <v>258</v>
      </c>
      <c r="L735" t="s">
        <v>275</v>
      </c>
      <c r="M735">
        <v>3432</v>
      </c>
      <c r="N735">
        <v>3432</v>
      </c>
      <c r="O735" t="s">
        <v>197</v>
      </c>
      <c r="P735">
        <v>8</v>
      </c>
      <c r="Q735">
        <f>N735/P735</f>
      </c>
      <c r="R735" s="1">
        <v>65</v>
      </c>
      <c r="S735" s="1">
        <v>65</v>
      </c>
      <c r="T735">
        <f>IF(R735=S735,"相符","不相符")</f>
      </c>
      <c r="U735" t="s">
        <v>276</v>
      </c>
      <c r="V735">
        <f>P735*R735</f>
      </c>
      <c r="W735">
        <f>Q735*V735</f>
      </c>
      <c r="X735">
        <v>1825</v>
      </c>
      <c r="Y735" t="s">
        <v>1600</v>
      </c>
      <c r="Z735" t="s">
        <v>1599</v>
      </c>
      <c r="AA735"/>
      <c r="AB735"/>
      <c r="AC735" t="s">
        <v>243</v>
      </c>
      <c r="AD735"/>
    </row>
    <row r="736">
      <c r="A736" t="s">
        <v>30</v>
      </c>
      <c r="B736" t="s">
        <v>189</v>
      </c>
      <c r="C736" t="s">
        <v>1601</v>
      </c>
      <c r="D736" t="s">
        <v>191</v>
      </c>
      <c r="E736" t="s">
        <v>192</v>
      </c>
      <c r="F736" s="2">
        <v>46268</v>
      </c>
      <c r="G736">
        <v>1</v>
      </c>
      <c r="H736" t="s">
        <v>1189</v>
      </c>
      <c r="I736" t="s">
        <v>1190</v>
      </c>
      <c r="J736" t="s">
        <v>1190</v>
      </c>
      <c r="K736" t="s">
        <v>195</v>
      </c>
      <c r="L736" t="s">
        <v>1191</v>
      </c>
      <c r="M736">
        <v>336</v>
      </c>
      <c r="N736">
        <v>336</v>
      </c>
      <c r="O736" t="s">
        <v>197</v>
      </c>
      <c r="P736">
        <v>24</v>
      </c>
      <c r="Q736">
        <f>N736/P736</f>
      </c>
      <c r="R736" s="1">
        <v>40</v>
      </c>
      <c r="S736" s="1">
        <v>40</v>
      </c>
      <c r="T736">
        <f>IF(R736=S736,"相符","不相符")</f>
      </c>
      <c r="U736"/>
      <c r="V736">
        <f>P736*R736</f>
      </c>
      <c r="W736">
        <f>Q736*V736</f>
      </c>
      <c r="X736">
        <v>1095</v>
      </c>
      <c r="Y736" t="s">
        <v>1598</v>
      </c>
      <c r="Z736" t="s">
        <v>1432</v>
      </c>
      <c r="AA736"/>
      <c r="AB736"/>
      <c r="AC736" t="s">
        <v>49</v>
      </c>
      <c r="AD736"/>
    </row>
    <row r="737">
      <c r="A737" t="s">
        <v>30</v>
      </c>
      <c r="B737" t="s">
        <v>189</v>
      </c>
      <c r="C737" t="s">
        <v>1601</v>
      </c>
      <c r="D737" t="s">
        <v>191</v>
      </c>
      <c r="E737" t="s">
        <v>192</v>
      </c>
      <c r="F737" s="2">
        <v>46268</v>
      </c>
      <c r="G737">
        <v>2</v>
      </c>
      <c r="H737" t="s">
        <v>1602</v>
      </c>
      <c r="I737" t="s">
        <v>1603</v>
      </c>
      <c r="J737" t="s">
        <v>1603</v>
      </c>
      <c r="K737" t="s">
        <v>195</v>
      </c>
      <c r="L737" t="s">
        <v>1604</v>
      </c>
      <c r="M737">
        <v>237</v>
      </c>
      <c r="N737">
        <v>168</v>
      </c>
      <c r="O737" t="s">
        <v>197</v>
      </c>
      <c r="P737">
        <v>24</v>
      </c>
      <c r="Q737">
        <f>N737/P737</f>
      </c>
      <c r="R737" s="1">
        <v>40</v>
      </c>
      <c r="S737" s="1">
        <v>40</v>
      </c>
      <c r="T737">
        <f>IF(R737=S737,"相符","不相符")</f>
      </c>
      <c r="U737"/>
      <c r="V737">
        <f>P737*R737</f>
      </c>
      <c r="W737">
        <f>Q737*V737</f>
      </c>
      <c r="X737">
        <v>1095</v>
      </c>
      <c r="Y737" t="s">
        <v>1598</v>
      </c>
      <c r="Z737" t="s">
        <v>1432</v>
      </c>
      <c r="AA737"/>
      <c r="AB737"/>
      <c r="AC737" t="s">
        <v>49</v>
      </c>
      <c r="AD737"/>
    </row>
    <row r="738">
      <c r="A738" t="s">
        <v>30</v>
      </c>
      <c r="B738" t="s">
        <v>189</v>
      </c>
      <c r="C738" t="s">
        <v>1601</v>
      </c>
      <c r="D738" t="s">
        <v>191</v>
      </c>
      <c r="E738" t="s">
        <v>192</v>
      </c>
      <c r="F738" s="2">
        <v>46268</v>
      </c>
      <c r="G738">
        <v>3</v>
      </c>
      <c r="H738" t="s">
        <v>1605</v>
      </c>
      <c r="I738" t="s">
        <v>1606</v>
      </c>
      <c r="J738" t="s">
        <v>1606</v>
      </c>
      <c r="K738" t="s">
        <v>195</v>
      </c>
      <c r="L738" t="s">
        <v>1607</v>
      </c>
      <c r="M738">
        <v>216</v>
      </c>
      <c r="N738">
        <v>192</v>
      </c>
      <c r="O738" t="s">
        <v>197</v>
      </c>
      <c r="P738">
        <v>24</v>
      </c>
      <c r="Q738">
        <f>N738/P738</f>
      </c>
      <c r="R738" s="1">
        <v>40</v>
      </c>
      <c r="S738" s="1">
        <v>40</v>
      </c>
      <c r="T738">
        <f>IF(R738=S738,"相符","不相符")</f>
      </c>
      <c r="U738"/>
      <c r="V738">
        <f>P738*R738</f>
      </c>
      <c r="W738">
        <f>Q738*V738</f>
      </c>
      <c r="X738">
        <v>1095</v>
      </c>
      <c r="Y738" t="s">
        <v>1608</v>
      </c>
      <c r="Z738" t="s">
        <v>1432</v>
      </c>
      <c r="AA738"/>
      <c r="AB738"/>
      <c r="AC738" t="s">
        <v>49</v>
      </c>
      <c r="AD738"/>
    </row>
    <row r="739">
      <c r="A739" t="s">
        <v>30</v>
      </c>
      <c r="B739" t="s">
        <v>189</v>
      </c>
      <c r="C739" t="s">
        <v>1601</v>
      </c>
      <c r="D739" t="s">
        <v>191</v>
      </c>
      <c r="E739" t="s">
        <v>192</v>
      </c>
      <c r="F739" s="2">
        <v>46268</v>
      </c>
      <c r="G739">
        <v>4</v>
      </c>
      <c r="H739" t="s">
        <v>1609</v>
      </c>
      <c r="I739" t="s">
        <v>1610</v>
      </c>
      <c r="J739" t="s">
        <v>1610</v>
      </c>
      <c r="K739" t="s">
        <v>195</v>
      </c>
      <c r="L739" t="s">
        <v>1611</v>
      </c>
      <c r="M739">
        <v>294</v>
      </c>
      <c r="N739">
        <v>144</v>
      </c>
      <c r="O739" t="s">
        <v>197</v>
      </c>
      <c r="P739">
        <v>12</v>
      </c>
      <c r="Q739">
        <f>N739/P739</f>
      </c>
      <c r="R739" s="1">
        <v>115</v>
      </c>
      <c r="S739" s="1">
        <v>115</v>
      </c>
      <c r="T739">
        <f>IF(R739=S739,"相符","不相符")</f>
      </c>
      <c r="U739"/>
      <c r="V739">
        <f>P739*R739</f>
      </c>
      <c r="W739">
        <f>Q739*V739</f>
      </c>
      <c r="X739">
        <v>1095</v>
      </c>
      <c r="Y739" t="s">
        <v>1598</v>
      </c>
      <c r="Z739" t="s">
        <v>1432</v>
      </c>
      <c r="AA739"/>
      <c r="AB739"/>
      <c r="AC739" t="s">
        <v>49</v>
      </c>
      <c r="AD739"/>
    </row>
    <row r="740">
      <c r="A740" t="s">
        <v>30</v>
      </c>
      <c r="B740" t="s">
        <v>189</v>
      </c>
      <c r="C740" t="s">
        <v>1601</v>
      </c>
      <c r="D740" t="s">
        <v>191</v>
      </c>
      <c r="E740" t="s">
        <v>192</v>
      </c>
      <c r="F740" s="2">
        <v>46268</v>
      </c>
      <c r="G740">
        <v>5</v>
      </c>
      <c r="H740" t="s">
        <v>1194</v>
      </c>
      <c r="I740" t="s">
        <v>1195</v>
      </c>
      <c r="J740" t="s">
        <v>1196</v>
      </c>
      <c r="K740" t="s">
        <v>657</v>
      </c>
      <c r="L740" t="s">
        <v>1197</v>
      </c>
      <c r="M740">
        <v>198</v>
      </c>
      <c r="N740">
        <v>180</v>
      </c>
      <c r="O740" t="s">
        <v>435</v>
      </c>
      <c r="P740">
        <v>20</v>
      </c>
      <c r="Q740">
        <f>N740/P740</f>
      </c>
      <c r="R740" s="1">
        <v>323</v>
      </c>
      <c r="S740" s="1">
        <v>323</v>
      </c>
      <c r="T740">
        <f>IF(R740=S740,"相符","不相符")</f>
      </c>
      <c r="U740"/>
      <c r="V740">
        <f>P740*R740</f>
      </c>
      <c r="W740">
        <f>Q740*V740</f>
      </c>
      <c r="X740">
        <v>1825</v>
      </c>
      <c r="Y740" t="s">
        <v>744</v>
      </c>
      <c r="Z740" t="s">
        <v>1432</v>
      </c>
      <c r="AA740"/>
      <c r="AB740"/>
      <c r="AC740" t="s">
        <v>49</v>
      </c>
      <c r="AD740"/>
    </row>
    <row r="741">
      <c r="A741" t="s">
        <v>30</v>
      </c>
      <c r="B741" t="s">
        <v>189</v>
      </c>
      <c r="C741" t="s">
        <v>1601</v>
      </c>
      <c r="D741" t="s">
        <v>191</v>
      </c>
      <c r="E741" t="s">
        <v>192</v>
      </c>
      <c r="F741" s="2">
        <v>46268</v>
      </c>
      <c r="G741">
        <v>6</v>
      </c>
      <c r="H741" t="s">
        <v>1198</v>
      </c>
      <c r="I741" t="s">
        <v>1199</v>
      </c>
      <c r="J741" t="s">
        <v>1199</v>
      </c>
      <c r="K741" t="s">
        <v>657</v>
      </c>
      <c r="L741" t="s">
        <v>1200</v>
      </c>
      <c r="M741">
        <v>526</v>
      </c>
      <c r="N741">
        <v>520</v>
      </c>
      <c r="O741" t="s">
        <v>435</v>
      </c>
      <c r="P741">
        <v>10</v>
      </c>
      <c r="Q741">
        <f>N741/P741</f>
      </c>
      <c r="R741" s="1">
        <v>557</v>
      </c>
      <c r="S741" s="1">
        <v>557</v>
      </c>
      <c r="T741">
        <f>IF(R741=S741,"相符","不相符")</f>
      </c>
      <c r="U741"/>
      <c r="V741">
        <f>P741*R741</f>
      </c>
      <c r="W741">
        <f>Q741*V741</f>
      </c>
      <c r="X741">
        <v>1825</v>
      </c>
      <c r="Y741" t="s">
        <v>744</v>
      </c>
      <c r="Z741" t="s">
        <v>1432</v>
      </c>
      <c r="AA741"/>
      <c r="AB741"/>
      <c r="AC741" t="s">
        <v>49</v>
      </c>
      <c r="AD741"/>
    </row>
    <row r="742">
      <c r="A742" t="s">
        <v>30</v>
      </c>
      <c r="B742" t="s">
        <v>189</v>
      </c>
      <c r="C742" t="s">
        <v>1601</v>
      </c>
      <c r="D742" t="s">
        <v>191</v>
      </c>
      <c r="E742" t="s">
        <v>192</v>
      </c>
      <c r="F742" s="2">
        <v>46268</v>
      </c>
      <c r="G742">
        <v>7</v>
      </c>
      <c r="H742" t="s">
        <v>1201</v>
      </c>
      <c r="I742" t="s">
        <v>1202</v>
      </c>
      <c r="J742" t="s">
        <v>1202</v>
      </c>
      <c r="K742" t="s">
        <v>657</v>
      </c>
      <c r="L742" t="s">
        <v>1203</v>
      </c>
      <c r="M742">
        <v>281</v>
      </c>
      <c r="N742">
        <v>276</v>
      </c>
      <c r="O742" t="s">
        <v>435</v>
      </c>
      <c r="P742">
        <v>6</v>
      </c>
      <c r="Q742">
        <f>N742/P742</f>
      </c>
      <c r="R742" s="1">
        <v>185</v>
      </c>
      <c r="S742" s="1">
        <v>185</v>
      </c>
      <c r="T742">
        <f>IF(R742=S742,"相符","不相符")</f>
      </c>
      <c r="U742"/>
      <c r="V742">
        <f>P742*R742</f>
      </c>
      <c r="W742">
        <f>Q742*V742</f>
      </c>
      <c r="X742">
        <v>1825</v>
      </c>
      <c r="Y742" t="s">
        <v>744</v>
      </c>
      <c r="Z742" t="s">
        <v>1432</v>
      </c>
      <c r="AA742"/>
      <c r="AB742"/>
      <c r="AC742" t="s">
        <v>49</v>
      </c>
      <c r="AD742"/>
    </row>
    <row r="743">
      <c r="A743" t="s">
        <v>30</v>
      </c>
      <c r="B743" t="s">
        <v>189</v>
      </c>
      <c r="C743" t="s">
        <v>1601</v>
      </c>
      <c r="D743" t="s">
        <v>191</v>
      </c>
      <c r="E743" t="s">
        <v>192</v>
      </c>
      <c r="F743" s="2">
        <v>46268</v>
      </c>
      <c r="G743">
        <v>8</v>
      </c>
      <c r="H743" t="s">
        <v>799</v>
      </c>
      <c r="I743" t="s">
        <v>800</v>
      </c>
      <c r="J743" t="s">
        <v>800</v>
      </c>
      <c r="K743" t="s">
        <v>195</v>
      </c>
      <c r="L743" t="s">
        <v>801</v>
      </c>
      <c r="M743">
        <v>504</v>
      </c>
      <c r="N743">
        <v>504</v>
      </c>
      <c r="O743" t="s">
        <v>197</v>
      </c>
      <c r="P743">
        <v>12</v>
      </c>
      <c r="Q743">
        <f>N743/P743</f>
      </c>
      <c r="R743" s="1">
        <v>120</v>
      </c>
      <c r="S743" s="1">
        <v>120</v>
      </c>
      <c r="T743">
        <f>IF(R743=S743,"相符","不相符")</f>
      </c>
      <c r="U743"/>
      <c r="V743">
        <f>P743*R743</f>
      </c>
      <c r="W743">
        <f>Q743*V743</f>
      </c>
      <c r="X743">
        <v>1095</v>
      </c>
      <c r="Y743" t="s">
        <v>1598</v>
      </c>
      <c r="Z743" t="s">
        <v>1432</v>
      </c>
      <c r="AA743"/>
      <c r="AB743"/>
      <c r="AC743" t="s">
        <v>49</v>
      </c>
      <c r="AD743"/>
    </row>
    <row r="744">
      <c r="A744" t="s">
        <v>30</v>
      </c>
      <c r="B744" t="s">
        <v>189</v>
      </c>
      <c r="C744" t="s">
        <v>1601</v>
      </c>
      <c r="D744" t="s">
        <v>191</v>
      </c>
      <c r="E744" t="s">
        <v>192</v>
      </c>
      <c r="F744" s="2">
        <v>46268</v>
      </c>
      <c r="G744">
        <v>9</v>
      </c>
      <c r="H744" t="s">
        <v>708</v>
      </c>
      <c r="I744" t="s">
        <v>709</v>
      </c>
      <c r="J744" t="s">
        <v>709</v>
      </c>
      <c r="K744" t="s">
        <v>195</v>
      </c>
      <c r="L744" t="s">
        <v>710</v>
      </c>
      <c r="M744">
        <v>3752</v>
      </c>
      <c r="N744">
        <v>2628</v>
      </c>
      <c r="O744" t="s">
        <v>197</v>
      </c>
      <c r="P744">
        <v>12</v>
      </c>
      <c r="Q744">
        <f>N744/P744</f>
      </c>
      <c r="R744" s="1">
        <v>82</v>
      </c>
      <c r="S744" s="1">
        <v>82</v>
      </c>
      <c r="T744">
        <f>IF(R744=S744,"相符","不相符")</f>
      </c>
      <c r="U744"/>
      <c r="V744">
        <f>P744*R744</f>
      </c>
      <c r="W744">
        <f>Q744*V744</f>
      </c>
      <c r="X744">
        <v>1095</v>
      </c>
      <c r="Y744" t="s">
        <v>1598</v>
      </c>
      <c r="Z744" t="s">
        <v>1432</v>
      </c>
      <c r="AA744"/>
      <c r="AB744"/>
      <c r="AC744" t="s">
        <v>49</v>
      </c>
      <c r="AD744"/>
    </row>
    <row r="745">
      <c r="A745" t="s">
        <v>30</v>
      </c>
      <c r="B745" t="s">
        <v>189</v>
      </c>
      <c r="C745" t="s">
        <v>1601</v>
      </c>
      <c r="D745" t="s">
        <v>191</v>
      </c>
      <c r="E745" t="s">
        <v>192</v>
      </c>
      <c r="F745" s="2">
        <v>46268</v>
      </c>
      <c r="G745">
        <v>10</v>
      </c>
      <c r="H745" t="s">
        <v>1612</v>
      </c>
      <c r="I745" t="s">
        <v>1613</v>
      </c>
      <c r="J745" t="s">
        <v>1613</v>
      </c>
      <c r="K745" t="s">
        <v>195</v>
      </c>
      <c r="L745" t="s">
        <v>1614</v>
      </c>
      <c r="M745">
        <v>3098</v>
      </c>
      <c r="N745">
        <v>3096</v>
      </c>
      <c r="O745" t="s">
        <v>197</v>
      </c>
      <c r="P745">
        <v>12</v>
      </c>
      <c r="Q745">
        <f>N745/P745</f>
      </c>
      <c r="R745" s="1">
        <v>89</v>
      </c>
      <c r="S745" s="1">
        <v>89</v>
      </c>
      <c r="T745">
        <f>IF(R745=S745,"相符","不相符")</f>
      </c>
      <c r="U745"/>
      <c r="V745">
        <f>P745*R745</f>
      </c>
      <c r="W745">
        <f>Q745*V745</f>
      </c>
      <c r="X745">
        <v>1095</v>
      </c>
      <c r="Y745" t="s">
        <v>1598</v>
      </c>
      <c r="Z745" t="s">
        <v>1432</v>
      </c>
      <c r="AA745"/>
      <c r="AB745"/>
      <c r="AC745" t="s">
        <v>49</v>
      </c>
      <c r="AD745"/>
    </row>
    <row r="746">
      <c r="A746" t="s">
        <v>30</v>
      </c>
      <c r="B746" t="s">
        <v>189</v>
      </c>
      <c r="C746" t="s">
        <v>1601</v>
      </c>
      <c r="D746" t="s">
        <v>191</v>
      </c>
      <c r="E746" t="s">
        <v>192</v>
      </c>
      <c r="F746" s="2">
        <v>46268</v>
      </c>
      <c r="G746">
        <v>11</v>
      </c>
      <c r="H746" t="s">
        <v>1615</v>
      </c>
      <c r="I746" t="s">
        <v>1616</v>
      </c>
      <c r="J746" t="s">
        <v>1616</v>
      </c>
      <c r="K746" t="s">
        <v>195</v>
      </c>
      <c r="L746" t="s">
        <v>1617</v>
      </c>
      <c r="M746">
        <v>2718</v>
      </c>
      <c r="N746">
        <v>2520</v>
      </c>
      <c r="O746" t="s">
        <v>683</v>
      </c>
      <c r="P746">
        <v>12</v>
      </c>
      <c r="Q746">
        <f>N746/P746</f>
      </c>
      <c r="R746" s="1">
        <v>89</v>
      </c>
      <c r="S746" s="1">
        <v>89</v>
      </c>
      <c r="T746">
        <f>IF(R746=S746,"相符","不相符")</f>
      </c>
      <c r="U746"/>
      <c r="V746">
        <f>P746*R746</f>
      </c>
      <c r="W746">
        <f>Q746*V746</f>
      </c>
      <c r="X746">
        <v>1095</v>
      </c>
      <c r="Y746" t="s">
        <v>1598</v>
      </c>
      <c r="Z746" t="s">
        <v>1432</v>
      </c>
      <c r="AA746"/>
      <c r="AB746"/>
      <c r="AC746" t="s">
        <v>49</v>
      </c>
      <c r="AD746"/>
    </row>
    <row r="747">
      <c r="A747" t="s">
        <v>30</v>
      </c>
      <c r="B747" t="s">
        <v>189</v>
      </c>
      <c r="C747" t="s">
        <v>1601</v>
      </c>
      <c r="D747" t="s">
        <v>191</v>
      </c>
      <c r="E747" t="s">
        <v>192</v>
      </c>
      <c r="F747" s="2">
        <v>46268</v>
      </c>
      <c r="G747">
        <v>12</v>
      </c>
      <c r="H747" t="s">
        <v>1496</v>
      </c>
      <c r="I747" t="s">
        <v>1497</v>
      </c>
      <c r="J747" t="s">
        <v>1497</v>
      </c>
      <c r="K747" t="s">
        <v>657</v>
      </c>
      <c r="L747" t="s">
        <v>1498</v>
      </c>
      <c r="M747">
        <v>99</v>
      </c>
      <c r="N747">
        <v>96</v>
      </c>
      <c r="O747" t="s">
        <v>435</v>
      </c>
      <c r="P747">
        <v>6</v>
      </c>
      <c r="Q747">
        <f>N747/P747</f>
      </c>
      <c r="R747" s="1">
        <v>995</v>
      </c>
      <c r="S747" s="1">
        <v>995</v>
      </c>
      <c r="T747">
        <f>IF(R747=S747,"相符","不相符")</f>
      </c>
      <c r="U747"/>
      <c r="V747">
        <f>P747*R747</f>
      </c>
      <c r="W747">
        <f>Q747*V747</f>
      </c>
      <c r="X747">
        <v>1825</v>
      </c>
      <c r="Y747" t="s">
        <v>744</v>
      </c>
      <c r="Z747" t="s">
        <v>1432</v>
      </c>
      <c r="AA747"/>
      <c r="AB747"/>
      <c r="AC747" t="s">
        <v>49</v>
      </c>
      <c r="AD747"/>
    </row>
    <row r="748">
      <c r="A748" t="s">
        <v>30</v>
      </c>
      <c r="B748" t="s">
        <v>189</v>
      </c>
      <c r="C748" t="s">
        <v>1601</v>
      </c>
      <c r="D748" t="s">
        <v>191</v>
      </c>
      <c r="E748" t="s">
        <v>192</v>
      </c>
      <c r="F748" s="2">
        <v>46268</v>
      </c>
      <c r="G748">
        <v>13</v>
      </c>
      <c r="H748" t="s">
        <v>1499</v>
      </c>
      <c r="I748" t="s">
        <v>1500</v>
      </c>
      <c r="J748" t="s">
        <v>1500</v>
      </c>
      <c r="K748" t="s">
        <v>657</v>
      </c>
      <c r="L748" t="s">
        <v>1501</v>
      </c>
      <c r="M748">
        <v>247</v>
      </c>
      <c r="N748">
        <v>246</v>
      </c>
      <c r="O748" t="s">
        <v>435</v>
      </c>
      <c r="P748">
        <v>6</v>
      </c>
      <c r="Q748">
        <f>N748/P748</f>
      </c>
      <c r="R748" s="1">
        <v>580</v>
      </c>
      <c r="S748" s="1">
        <v>580</v>
      </c>
      <c r="T748">
        <f>IF(R748=S748,"相符","不相符")</f>
      </c>
      <c r="U748"/>
      <c r="V748">
        <f>P748*R748</f>
      </c>
      <c r="W748">
        <f>Q748*V748</f>
      </c>
      <c r="X748">
        <v>1825</v>
      </c>
      <c r="Y748" t="s">
        <v>744</v>
      </c>
      <c r="Z748" t="s">
        <v>1432</v>
      </c>
      <c r="AA748"/>
      <c r="AB748"/>
      <c r="AC748" t="s">
        <v>49</v>
      </c>
      <c r="AD748"/>
    </row>
    <row r="749">
      <c r="A749" t="s">
        <v>30</v>
      </c>
      <c r="B749" t="s">
        <v>189</v>
      </c>
      <c r="C749" t="s">
        <v>1601</v>
      </c>
      <c r="D749" t="s">
        <v>191</v>
      </c>
      <c r="E749" t="s">
        <v>192</v>
      </c>
      <c r="F749" s="2">
        <v>46268</v>
      </c>
      <c r="G749">
        <v>14</v>
      </c>
      <c r="H749" t="s">
        <v>1502</v>
      </c>
      <c r="I749" t="s">
        <v>1503</v>
      </c>
      <c r="J749" t="s">
        <v>1503</v>
      </c>
      <c r="K749" t="s">
        <v>657</v>
      </c>
      <c r="L749" t="s">
        <v>1504</v>
      </c>
      <c r="M749">
        <v>114</v>
      </c>
      <c r="N749">
        <v>108</v>
      </c>
      <c r="O749" t="s">
        <v>435</v>
      </c>
      <c r="P749">
        <v>12</v>
      </c>
      <c r="Q749">
        <f>N749/P749</f>
      </c>
      <c r="R749" s="1">
        <v>260</v>
      </c>
      <c r="S749" s="1">
        <v>260</v>
      </c>
      <c r="T749">
        <f>IF(R749=S749,"相符","不相符")</f>
      </c>
      <c r="U749"/>
      <c r="V749">
        <f>P749*R749</f>
      </c>
      <c r="W749">
        <f>Q749*V749</f>
      </c>
      <c r="X749">
        <v>1825</v>
      </c>
      <c r="Y749" t="s">
        <v>744</v>
      </c>
      <c r="Z749" t="s">
        <v>1432</v>
      </c>
      <c r="AA749"/>
      <c r="AB749"/>
      <c r="AC749" t="s">
        <v>49</v>
      </c>
      <c r="AD749"/>
    </row>
    <row r="750">
      <c r="A750" t="s">
        <v>30</v>
      </c>
      <c r="B750" t="s">
        <v>189</v>
      </c>
      <c r="C750" t="s">
        <v>1601</v>
      </c>
      <c r="D750" t="s">
        <v>191</v>
      </c>
      <c r="E750" t="s">
        <v>192</v>
      </c>
      <c r="F750" s="2">
        <v>46268</v>
      </c>
      <c r="G750">
        <v>15</v>
      </c>
      <c r="H750" t="s">
        <v>1505</v>
      </c>
      <c r="I750" t="s">
        <v>1506</v>
      </c>
      <c r="J750" t="s">
        <v>1506</v>
      </c>
      <c r="K750" t="s">
        <v>657</v>
      </c>
      <c r="L750" t="s">
        <v>1507</v>
      </c>
      <c r="M750">
        <v>142</v>
      </c>
      <c r="N750">
        <v>132</v>
      </c>
      <c r="O750" t="s">
        <v>435</v>
      </c>
      <c r="P750">
        <v>12</v>
      </c>
      <c r="Q750">
        <f>N750/P750</f>
      </c>
      <c r="R750" s="1">
        <v>435</v>
      </c>
      <c r="S750" s="1">
        <v>435</v>
      </c>
      <c r="T750">
        <f>IF(R750=S750,"相符","不相符")</f>
      </c>
      <c r="U750"/>
      <c r="V750">
        <f>P750*R750</f>
      </c>
      <c r="W750">
        <f>Q750*V750</f>
      </c>
      <c r="X750">
        <v>1825</v>
      </c>
      <c r="Y750" t="s">
        <v>744</v>
      </c>
      <c r="Z750" t="s">
        <v>1432</v>
      </c>
      <c r="AA750"/>
      <c r="AB750"/>
      <c r="AC750" t="s">
        <v>49</v>
      </c>
      <c r="AD750"/>
    </row>
    <row r="751">
      <c r="A751" t="s">
        <v>30</v>
      </c>
      <c r="B751" t="s">
        <v>189</v>
      </c>
      <c r="C751" t="s">
        <v>1601</v>
      </c>
      <c r="D751" t="s">
        <v>191</v>
      </c>
      <c r="E751" t="s">
        <v>192</v>
      </c>
      <c r="F751" s="2">
        <v>46268</v>
      </c>
      <c r="G751">
        <v>16</v>
      </c>
      <c r="H751" t="s">
        <v>1508</v>
      </c>
      <c r="I751" t="s">
        <v>1509</v>
      </c>
      <c r="J751" t="s">
        <v>1509</v>
      </c>
      <c r="K751" t="s">
        <v>657</v>
      </c>
      <c r="L751" t="s">
        <v>1510</v>
      </c>
      <c r="M751">
        <v>114</v>
      </c>
      <c r="N751">
        <v>112</v>
      </c>
      <c r="O751" t="s">
        <v>435</v>
      </c>
      <c r="P751">
        <v>4</v>
      </c>
      <c r="Q751">
        <f>N751/P751</f>
      </c>
      <c r="R751" s="1">
        <v>165</v>
      </c>
      <c r="S751" s="1">
        <v>165</v>
      </c>
      <c r="T751">
        <f>IF(R751=S751,"相符","不相符")</f>
      </c>
      <c r="U751"/>
      <c r="V751">
        <f>P751*R751</f>
      </c>
      <c r="W751">
        <f>Q751*V751</f>
      </c>
      <c r="X751">
        <v>1825</v>
      </c>
      <c r="Y751" t="s">
        <v>744</v>
      </c>
      <c r="Z751" t="s">
        <v>1432</v>
      </c>
      <c r="AA751"/>
      <c r="AB751"/>
      <c r="AC751" t="s">
        <v>49</v>
      </c>
      <c r="AD751"/>
    </row>
    <row r="752">
      <c r="A752" t="s">
        <v>30</v>
      </c>
      <c r="B752" t="s">
        <v>189</v>
      </c>
      <c r="C752" t="s">
        <v>1601</v>
      </c>
      <c r="D752" t="s">
        <v>191</v>
      </c>
      <c r="E752" t="s">
        <v>192</v>
      </c>
      <c r="F752" s="2">
        <v>46268</v>
      </c>
      <c r="G752">
        <v>17</v>
      </c>
      <c r="H752" t="s">
        <v>1511</v>
      </c>
      <c r="I752" t="s">
        <v>1512</v>
      </c>
      <c r="J752" t="s">
        <v>1512</v>
      </c>
      <c r="K752" t="s">
        <v>657</v>
      </c>
      <c r="L752" t="s">
        <v>1513</v>
      </c>
      <c r="M752">
        <v>237</v>
      </c>
      <c r="N752">
        <v>230</v>
      </c>
      <c r="O752" t="s">
        <v>435</v>
      </c>
      <c r="P752">
        <v>10</v>
      </c>
      <c r="Q752">
        <f>N752/P752</f>
      </c>
      <c r="R752" s="1">
        <v>920</v>
      </c>
      <c r="S752" s="1">
        <v>920</v>
      </c>
      <c r="T752">
        <f>IF(R752=S752,"相符","不相符")</f>
      </c>
      <c r="U752"/>
      <c r="V752">
        <f>P752*R752</f>
      </c>
      <c r="W752">
        <f>Q752*V752</f>
      </c>
      <c r="X752">
        <v>1825</v>
      </c>
      <c r="Y752" t="s">
        <v>744</v>
      </c>
      <c r="Z752" t="s">
        <v>1432</v>
      </c>
      <c r="AA752"/>
      <c r="AB752"/>
      <c r="AC752" t="s">
        <v>49</v>
      </c>
      <c r="AD752"/>
    </row>
    <row r="753">
      <c r="A753" t="s">
        <v>30</v>
      </c>
      <c r="B753" t="s">
        <v>189</v>
      </c>
      <c r="C753" t="s">
        <v>1601</v>
      </c>
      <c r="D753" t="s">
        <v>191</v>
      </c>
      <c r="E753" t="s">
        <v>192</v>
      </c>
      <c r="F753" s="2">
        <v>46268</v>
      </c>
      <c r="G753">
        <v>18</v>
      </c>
      <c r="H753" t="s">
        <v>816</v>
      </c>
      <c r="I753" t="s">
        <v>817</v>
      </c>
      <c r="J753" t="s">
        <v>817</v>
      </c>
      <c r="K753" t="s">
        <v>657</v>
      </c>
      <c r="L753" t="s">
        <v>818</v>
      </c>
      <c r="M753">
        <v>123</v>
      </c>
      <c r="N753">
        <v>120</v>
      </c>
      <c r="O753" t="s">
        <v>435</v>
      </c>
      <c r="P753">
        <v>10</v>
      </c>
      <c r="Q753">
        <f>N753/P753</f>
      </c>
      <c r="R753" s="1">
        <v>610</v>
      </c>
      <c r="S753" s="1">
        <v>610</v>
      </c>
      <c r="T753">
        <f>IF(R753=S753,"相符","不相符")</f>
      </c>
      <c r="U753"/>
      <c r="V753">
        <f>P753*R753</f>
      </c>
      <c r="W753">
        <f>Q753*V753</f>
      </c>
      <c r="X753">
        <v>1825</v>
      </c>
      <c r="Y753" t="s">
        <v>744</v>
      </c>
      <c r="Z753" t="s">
        <v>1432</v>
      </c>
      <c r="AA753"/>
      <c r="AB753"/>
      <c r="AC753" t="s">
        <v>49</v>
      </c>
      <c r="AD753"/>
    </row>
    <row r="754">
      <c r="A754" t="s">
        <v>30</v>
      </c>
      <c r="B754" t="s">
        <v>189</v>
      </c>
      <c r="C754" t="s">
        <v>1601</v>
      </c>
      <c r="D754" t="s">
        <v>191</v>
      </c>
      <c r="E754" t="s">
        <v>192</v>
      </c>
      <c r="F754" s="2">
        <v>46268</v>
      </c>
      <c r="G754">
        <v>19</v>
      </c>
      <c r="H754" t="s">
        <v>804</v>
      </c>
      <c r="I754" t="s">
        <v>805</v>
      </c>
      <c r="J754" t="s">
        <v>805</v>
      </c>
      <c r="K754" t="s">
        <v>657</v>
      </c>
      <c r="L754" t="s">
        <v>806</v>
      </c>
      <c r="M754">
        <v>308</v>
      </c>
      <c r="N754">
        <v>300</v>
      </c>
      <c r="O754" t="s">
        <v>435</v>
      </c>
      <c r="P754">
        <v>20</v>
      </c>
      <c r="Q754">
        <f>N754/P754</f>
      </c>
      <c r="R754" s="1">
        <v>470</v>
      </c>
      <c r="S754" s="1">
        <v>470</v>
      </c>
      <c r="T754">
        <f>IF(R754=S754,"相符","不相符")</f>
      </c>
      <c r="U754"/>
      <c r="V754">
        <f>P754*R754</f>
      </c>
      <c r="W754">
        <f>Q754*V754</f>
      </c>
      <c r="X754">
        <v>1825</v>
      </c>
      <c r="Y754" t="s">
        <v>744</v>
      </c>
      <c r="Z754" t="s">
        <v>1432</v>
      </c>
      <c r="AA754"/>
      <c r="AB754"/>
      <c r="AC754" t="s">
        <v>49</v>
      </c>
      <c r="AD754"/>
    </row>
    <row r="755">
      <c r="A755" t="s">
        <v>30</v>
      </c>
      <c r="B755" t="s">
        <v>189</v>
      </c>
      <c r="C755" t="s">
        <v>1601</v>
      </c>
      <c r="D755" t="s">
        <v>191</v>
      </c>
      <c r="E755" t="s">
        <v>192</v>
      </c>
      <c r="F755" s="2">
        <v>46268</v>
      </c>
      <c r="G755">
        <v>20</v>
      </c>
      <c r="H755" t="s">
        <v>1520</v>
      </c>
      <c r="I755" t="s">
        <v>1521</v>
      </c>
      <c r="J755" t="s">
        <v>1521</v>
      </c>
      <c r="K755" t="s">
        <v>657</v>
      </c>
      <c r="L755" t="s">
        <v>1522</v>
      </c>
      <c r="M755">
        <v>316</v>
      </c>
      <c r="N755">
        <v>300</v>
      </c>
      <c r="O755" t="s">
        <v>435</v>
      </c>
      <c r="P755">
        <v>20</v>
      </c>
      <c r="Q755">
        <f>N755/P755</f>
      </c>
      <c r="R755" s="1">
        <v>525</v>
      </c>
      <c r="S755" s="1">
        <v>525</v>
      </c>
      <c r="T755">
        <f>IF(R755=S755,"相符","不相符")</f>
      </c>
      <c r="U755"/>
      <c r="V755">
        <f>P755*R755</f>
      </c>
      <c r="W755">
        <f>Q755*V755</f>
      </c>
      <c r="X755">
        <v>1825</v>
      </c>
      <c r="Y755" t="s">
        <v>744</v>
      </c>
      <c r="Z755" t="s">
        <v>1432</v>
      </c>
      <c r="AA755"/>
      <c r="AB755"/>
      <c r="AC755" t="s">
        <v>49</v>
      </c>
      <c r="AD755"/>
    </row>
    <row r="756">
      <c r="A756" t="s">
        <v>30</v>
      </c>
      <c r="B756" t="s">
        <v>189</v>
      </c>
      <c r="C756" t="s">
        <v>1601</v>
      </c>
      <c r="D756" t="s">
        <v>191</v>
      </c>
      <c r="E756" t="s">
        <v>192</v>
      </c>
      <c r="F756" s="2">
        <v>46268</v>
      </c>
      <c r="G756">
        <v>21</v>
      </c>
      <c r="H756" t="s">
        <v>1184</v>
      </c>
      <c r="I756" t="s">
        <v>1185</v>
      </c>
      <c r="J756" t="s">
        <v>1185</v>
      </c>
      <c r="K756" t="s">
        <v>195</v>
      </c>
      <c r="L756" t="s">
        <v>1186</v>
      </c>
      <c r="M756">
        <v>360</v>
      </c>
      <c r="N756">
        <v>360</v>
      </c>
      <c r="O756" t="s">
        <v>197</v>
      </c>
      <c r="P756">
        <v>24</v>
      </c>
      <c r="Q756">
        <f>N756/P756</f>
      </c>
      <c r="R756" s="1">
        <v>54</v>
      </c>
      <c r="S756" s="1">
        <v>54</v>
      </c>
      <c r="T756">
        <f>IF(R756=S756,"相符","不相符")</f>
      </c>
      <c r="U756"/>
      <c r="V756">
        <f>P756*R756</f>
      </c>
      <c r="W756">
        <f>Q756*V756</f>
      </c>
      <c r="X756">
        <v>1095</v>
      </c>
      <c r="Y756" t="s">
        <v>1589</v>
      </c>
      <c r="Z756" t="s">
        <v>1432</v>
      </c>
      <c r="AA756"/>
      <c r="AB756"/>
      <c r="AC756" t="s">
        <v>49</v>
      </c>
      <c r="AD756"/>
    </row>
    <row r="757">
      <c r="A757" t="s">
        <v>30</v>
      </c>
      <c r="B757" t="s">
        <v>189</v>
      </c>
      <c r="C757" t="s">
        <v>1601</v>
      </c>
      <c r="D757" t="s">
        <v>191</v>
      </c>
      <c r="E757" t="s">
        <v>192</v>
      </c>
      <c r="F757" s="2">
        <v>46268</v>
      </c>
      <c r="G757">
        <v>22</v>
      </c>
      <c r="H757" t="s">
        <v>1523</v>
      </c>
      <c r="I757" t="s">
        <v>1524</v>
      </c>
      <c r="J757" t="s">
        <v>1524</v>
      </c>
      <c r="K757" t="s">
        <v>195</v>
      </c>
      <c r="L757" t="s">
        <v>1525</v>
      </c>
      <c r="M757">
        <v>1512</v>
      </c>
      <c r="N757">
        <v>1512</v>
      </c>
      <c r="O757" t="s">
        <v>197</v>
      </c>
      <c r="P757">
        <v>24</v>
      </c>
      <c r="Q757">
        <f>N757/P757</f>
      </c>
      <c r="R757" s="1">
        <v>47</v>
      </c>
      <c r="S757" s="1">
        <v>47</v>
      </c>
      <c r="T757">
        <f>IF(R757=S757,"相符","不相符")</f>
      </c>
      <c r="U757"/>
      <c r="V757">
        <f>P757*R757</f>
      </c>
      <c r="W757">
        <f>Q757*V757</f>
      </c>
      <c r="X757">
        <v>1095</v>
      </c>
      <c r="Y757" t="s">
        <v>1589</v>
      </c>
      <c r="Z757" t="s">
        <v>1432</v>
      </c>
      <c r="AA757"/>
      <c r="AB757"/>
      <c r="AC757" t="s">
        <v>49</v>
      </c>
      <c r="AD757"/>
    </row>
    <row r="758">
      <c r="A758" t="s">
        <v>30</v>
      </c>
      <c r="B758" t="s">
        <v>189</v>
      </c>
      <c r="C758" t="s">
        <v>1601</v>
      </c>
      <c r="D758" t="s">
        <v>191</v>
      </c>
      <c r="E758" t="s">
        <v>192</v>
      </c>
      <c r="F758" s="2">
        <v>46268</v>
      </c>
      <c r="G758">
        <v>23</v>
      </c>
      <c r="H758" t="s">
        <v>1618</v>
      </c>
      <c r="I758" t="s">
        <v>1619</v>
      </c>
      <c r="J758" t="s">
        <v>1619</v>
      </c>
      <c r="K758" t="s">
        <v>195</v>
      </c>
      <c r="L758" t="s">
        <v>1620</v>
      </c>
      <c r="M758">
        <v>1217</v>
      </c>
      <c r="N758">
        <v>1212</v>
      </c>
      <c r="O758" t="s">
        <v>197</v>
      </c>
      <c r="P758">
        <v>12</v>
      </c>
      <c r="Q758">
        <f>N758/P758</f>
      </c>
      <c r="R758" s="1">
        <v>95</v>
      </c>
      <c r="S758" s="1">
        <v>95</v>
      </c>
      <c r="T758">
        <f>IF(R758=S758,"相符","不相符")</f>
      </c>
      <c r="U758"/>
      <c r="V758">
        <f>P758*R758</f>
      </c>
      <c r="W758">
        <f>Q758*V758</f>
      </c>
      <c r="X758">
        <v>1095</v>
      </c>
      <c r="Y758" t="s">
        <v>1589</v>
      </c>
      <c r="Z758" t="s">
        <v>1432</v>
      </c>
      <c r="AA758"/>
      <c r="AB758"/>
      <c r="AC758" t="s">
        <v>49</v>
      </c>
      <c r="AD758"/>
    </row>
    <row r="759">
      <c r="A759" t="s">
        <v>30</v>
      </c>
      <c r="B759" t="s">
        <v>189</v>
      </c>
      <c r="C759" t="s">
        <v>1601</v>
      </c>
      <c r="D759" t="s">
        <v>191</v>
      </c>
      <c r="E759" t="s">
        <v>192</v>
      </c>
      <c r="F759" s="2">
        <v>46268</v>
      </c>
      <c r="G759">
        <v>24</v>
      </c>
      <c r="H759" t="s">
        <v>1621</v>
      </c>
      <c r="I759" t="s">
        <v>1622</v>
      </c>
      <c r="J759" t="s">
        <v>1622</v>
      </c>
      <c r="K759" t="s">
        <v>195</v>
      </c>
      <c r="L759" t="s">
        <v>1623</v>
      </c>
      <c r="M759">
        <v>1252</v>
      </c>
      <c r="N759">
        <v>1248</v>
      </c>
      <c r="O759" t="s">
        <v>197</v>
      </c>
      <c r="P759">
        <v>12</v>
      </c>
      <c r="Q759">
        <f>N759/P759</f>
      </c>
      <c r="R759" s="1">
        <v>95</v>
      </c>
      <c r="S759" s="1">
        <v>95</v>
      </c>
      <c r="T759">
        <f>IF(R759=S759,"相符","不相符")</f>
      </c>
      <c r="U759"/>
      <c r="V759">
        <f>P759*R759</f>
      </c>
      <c r="W759">
        <f>Q759*V759</f>
      </c>
      <c r="X759">
        <v>1095</v>
      </c>
      <c r="Y759" t="s">
        <v>1589</v>
      </c>
      <c r="Z759" t="s">
        <v>1432</v>
      </c>
      <c r="AA759"/>
      <c r="AB759"/>
      <c r="AC759" t="s">
        <v>49</v>
      </c>
      <c r="AD759"/>
    </row>
    <row r="760">
      <c r="A760" t="s">
        <v>30</v>
      </c>
      <c r="B760" t="s">
        <v>189</v>
      </c>
      <c r="C760" t="s">
        <v>1601</v>
      </c>
      <c r="D760" t="s">
        <v>191</v>
      </c>
      <c r="E760" t="s">
        <v>192</v>
      </c>
      <c r="F760" s="2">
        <v>46268</v>
      </c>
      <c r="G760">
        <v>25</v>
      </c>
      <c r="H760" t="s">
        <v>1624</v>
      </c>
      <c r="I760" t="s">
        <v>1625</v>
      </c>
      <c r="J760" t="s">
        <v>1625</v>
      </c>
      <c r="K760" t="s">
        <v>657</v>
      </c>
      <c r="L760" t="s">
        <v>1626</v>
      </c>
      <c r="M760">
        <v>605</v>
      </c>
      <c r="N760">
        <v>600</v>
      </c>
      <c r="O760" t="s">
        <v>435</v>
      </c>
      <c r="P760">
        <v>12</v>
      </c>
      <c r="Q760">
        <f>N760/P760</f>
      </c>
      <c r="R760" s="1">
        <v>93</v>
      </c>
      <c r="S760" s="1">
        <v>93</v>
      </c>
      <c r="T760">
        <f>IF(R760=S760,"相符","不相符")</f>
      </c>
      <c r="U760"/>
      <c r="V760">
        <f>P760*R760</f>
      </c>
      <c r="W760">
        <f>Q760*V760</f>
      </c>
      <c r="X760">
        <v>1825</v>
      </c>
      <c r="Y760" t="s">
        <v>744</v>
      </c>
      <c r="Z760" t="s">
        <v>1432</v>
      </c>
      <c r="AA760"/>
      <c r="AB760"/>
      <c r="AC760" t="s">
        <v>49</v>
      </c>
      <c r="AD760"/>
    </row>
    <row r="761">
      <c r="A761" t="s">
        <v>30</v>
      </c>
      <c r="B761" t="s">
        <v>189</v>
      </c>
      <c r="C761" t="s">
        <v>1601</v>
      </c>
      <c r="D761" t="s">
        <v>191</v>
      </c>
      <c r="E761" t="s">
        <v>192</v>
      </c>
      <c r="F761" s="2">
        <v>46268</v>
      </c>
      <c r="G761">
        <v>26</v>
      </c>
      <c r="H761" t="s">
        <v>1627</v>
      </c>
      <c r="I761" t="s">
        <v>1628</v>
      </c>
      <c r="J761" t="s">
        <v>1628</v>
      </c>
      <c r="K761" t="s">
        <v>657</v>
      </c>
      <c r="L761" t="s">
        <v>1629</v>
      </c>
      <c r="M761">
        <v>79</v>
      </c>
      <c r="N761">
        <v>40</v>
      </c>
      <c r="O761" t="s">
        <v>435</v>
      </c>
      <c r="P761">
        <v>20</v>
      </c>
      <c r="Q761">
        <f>N761/P761</f>
      </c>
      <c r="R761" s="1">
        <v>419</v>
      </c>
      <c r="S761" s="1">
        <v>419</v>
      </c>
      <c r="T761">
        <f>IF(R761=S761,"相符","不相符")</f>
      </c>
      <c r="U761"/>
      <c r="V761">
        <f>P761*R761</f>
      </c>
      <c r="W761">
        <f>Q761*V761</f>
      </c>
      <c r="X761">
        <v>1825</v>
      </c>
      <c r="Y761" t="s">
        <v>744</v>
      </c>
      <c r="Z761" t="s">
        <v>1432</v>
      </c>
      <c r="AA761"/>
      <c r="AB761"/>
      <c r="AC761" t="s">
        <v>49</v>
      </c>
      <c r="AD761"/>
    </row>
    <row r="762">
      <c r="A762" t="s">
        <v>30</v>
      </c>
      <c r="B762" t="s">
        <v>189</v>
      </c>
      <c r="C762" t="s">
        <v>1601</v>
      </c>
      <c r="D762" t="s">
        <v>191</v>
      </c>
      <c r="E762" t="s">
        <v>192</v>
      </c>
      <c r="F762" s="2">
        <v>46268</v>
      </c>
      <c r="G762">
        <v>27</v>
      </c>
      <c r="H762" t="s">
        <v>1060</v>
      </c>
      <c r="I762" t="s">
        <v>634</v>
      </c>
      <c r="J762" t="s">
        <v>634</v>
      </c>
      <c r="K762" t="s">
        <v>419</v>
      </c>
      <c r="L762" t="s">
        <v>1061</v>
      </c>
      <c r="M762">
        <v>136</v>
      </c>
      <c r="N762">
        <v>136</v>
      </c>
      <c r="O762" t="s">
        <v>177</v>
      </c>
      <c r="P762">
        <v>4</v>
      </c>
      <c r="Q762">
        <f>N762/P762</f>
      </c>
      <c r="R762" s="1">
        <v>339</v>
      </c>
      <c r="S762" s="1">
        <v>339</v>
      </c>
      <c r="T762">
        <f>IF(R762=S762,"相符","不相符")</f>
      </c>
      <c r="U762"/>
      <c r="V762">
        <f>P762*R762</f>
      </c>
      <c r="W762">
        <f>Q762*V762</f>
      </c>
      <c r="X762">
        <v>1095</v>
      </c>
      <c r="Y762" t="s">
        <v>1589</v>
      </c>
      <c r="Z762" t="s">
        <v>1432</v>
      </c>
      <c r="AA762"/>
      <c r="AB762"/>
      <c r="AC762" t="s">
        <v>49</v>
      </c>
      <c r="AD762"/>
    </row>
    <row r="763">
      <c r="A763" t="s">
        <v>30</v>
      </c>
      <c r="B763" t="s">
        <v>189</v>
      </c>
      <c r="C763" t="s">
        <v>1601</v>
      </c>
      <c r="D763" t="s">
        <v>191</v>
      </c>
      <c r="E763" t="s">
        <v>192</v>
      </c>
      <c r="F763" s="2">
        <v>46268</v>
      </c>
      <c r="G763">
        <v>28</v>
      </c>
      <c r="H763" t="s">
        <v>1630</v>
      </c>
      <c r="I763" t="s">
        <v>1180</v>
      </c>
      <c r="J763" t="s">
        <v>1180</v>
      </c>
      <c r="K763" t="s">
        <v>419</v>
      </c>
      <c r="L763" t="s">
        <v>1631</v>
      </c>
      <c r="M763">
        <v>304</v>
      </c>
      <c r="N763">
        <v>304</v>
      </c>
      <c r="O763" t="s">
        <v>177</v>
      </c>
      <c r="P763">
        <v>4</v>
      </c>
      <c r="Q763">
        <f>N763/P763</f>
      </c>
      <c r="R763" s="1">
        <v>323</v>
      </c>
      <c r="S763" s="1">
        <v>323</v>
      </c>
      <c r="T763">
        <f>IF(R763=S763,"相符","不相符")</f>
      </c>
      <c r="U763"/>
      <c r="V763">
        <f>P763*R763</f>
      </c>
      <c r="W763">
        <f>Q763*V763</f>
      </c>
      <c r="X763">
        <v>1095</v>
      </c>
      <c r="Y763" t="s">
        <v>1589</v>
      </c>
      <c r="Z763" t="s">
        <v>1432</v>
      </c>
      <c r="AA763"/>
      <c r="AB763"/>
      <c r="AC763" t="s">
        <v>49</v>
      </c>
      <c r="AD763"/>
    </row>
    <row r="764">
      <c r="A764" t="s">
        <v>30</v>
      </c>
      <c r="B764" t="s">
        <v>189</v>
      </c>
      <c r="C764" t="s">
        <v>1601</v>
      </c>
      <c r="D764" t="s">
        <v>191</v>
      </c>
      <c r="E764" t="s">
        <v>192</v>
      </c>
      <c r="F764" s="2">
        <v>46268</v>
      </c>
      <c r="G764">
        <v>29</v>
      </c>
      <c r="H764" t="s">
        <v>646</v>
      </c>
      <c r="I764" t="s">
        <v>614</v>
      </c>
      <c r="J764" t="s">
        <v>614</v>
      </c>
      <c r="K764" t="s">
        <v>419</v>
      </c>
      <c r="L764" t="s">
        <v>647</v>
      </c>
      <c r="M764">
        <v>352</v>
      </c>
      <c r="N764">
        <v>352</v>
      </c>
      <c r="O764" t="s">
        <v>177</v>
      </c>
      <c r="P764">
        <v>4</v>
      </c>
      <c r="Q764">
        <f>N764/P764</f>
      </c>
      <c r="R764" s="1">
        <v>339</v>
      </c>
      <c r="S764" s="1">
        <v>339</v>
      </c>
      <c r="T764">
        <f>IF(R764=S764,"相符","不相符")</f>
      </c>
      <c r="U764"/>
      <c r="V764">
        <f>P764*R764</f>
      </c>
      <c r="W764">
        <f>Q764*V764</f>
      </c>
      <c r="X764">
        <v>1095</v>
      </c>
      <c r="Y764" t="s">
        <v>1589</v>
      </c>
      <c r="Z764" t="s">
        <v>1432</v>
      </c>
      <c r="AA764"/>
      <c r="AB764"/>
      <c r="AC764" t="s">
        <v>49</v>
      </c>
      <c r="AD764"/>
    </row>
    <row r="765">
      <c r="A765" t="s">
        <v>30</v>
      </c>
      <c r="B765" t="s">
        <v>189</v>
      </c>
      <c r="C765" t="s">
        <v>1601</v>
      </c>
      <c r="D765" t="s">
        <v>191</v>
      </c>
      <c r="E765" t="s">
        <v>192</v>
      </c>
      <c r="F765" s="2">
        <v>46268</v>
      </c>
      <c r="G765">
        <v>30</v>
      </c>
      <c r="H765" t="s">
        <v>665</v>
      </c>
      <c r="I765" t="s">
        <v>666</v>
      </c>
      <c r="J765" t="s">
        <v>666</v>
      </c>
      <c r="K765" t="s">
        <v>419</v>
      </c>
      <c r="L765" t="s">
        <v>667</v>
      </c>
      <c r="M765">
        <v>196</v>
      </c>
      <c r="N765">
        <v>196</v>
      </c>
      <c r="O765" t="s">
        <v>177</v>
      </c>
      <c r="P765">
        <v>4</v>
      </c>
      <c r="Q765">
        <f>N765/P765</f>
      </c>
      <c r="R765" s="1">
        <v>323</v>
      </c>
      <c r="S765" s="1">
        <v>323</v>
      </c>
      <c r="T765">
        <f>IF(R765=S765,"相符","不相符")</f>
      </c>
      <c r="U765"/>
      <c r="V765">
        <f>P765*R765</f>
      </c>
      <c r="W765">
        <f>Q765*V765</f>
      </c>
      <c r="X765">
        <v>1095</v>
      </c>
      <c r="Y765" t="s">
        <v>1589</v>
      </c>
      <c r="Z765" t="s">
        <v>1432</v>
      </c>
      <c r="AA765"/>
      <c r="AB765"/>
      <c r="AC765" t="s">
        <v>49</v>
      </c>
      <c r="AD765"/>
    </row>
    <row r="766">
      <c r="A766" t="s">
        <v>30</v>
      </c>
      <c r="B766" t="s">
        <v>189</v>
      </c>
      <c r="C766" t="s">
        <v>1601</v>
      </c>
      <c r="D766" t="s">
        <v>191</v>
      </c>
      <c r="E766" t="s">
        <v>192</v>
      </c>
      <c r="F766" s="2">
        <v>46268</v>
      </c>
      <c r="G766">
        <v>31</v>
      </c>
      <c r="H766" t="s">
        <v>668</v>
      </c>
      <c r="I766" t="s">
        <v>619</v>
      </c>
      <c r="J766" t="s">
        <v>619</v>
      </c>
      <c r="K766" t="s">
        <v>419</v>
      </c>
      <c r="L766" t="s">
        <v>669</v>
      </c>
      <c r="M766">
        <v>420</v>
      </c>
      <c r="N766">
        <v>420</v>
      </c>
      <c r="O766" t="s">
        <v>177</v>
      </c>
      <c r="P766">
        <v>4</v>
      </c>
      <c r="Q766">
        <f>N766/P766</f>
      </c>
      <c r="R766" s="1">
        <v>339</v>
      </c>
      <c r="S766" s="1">
        <v>339</v>
      </c>
      <c r="T766">
        <f>IF(R766=S766,"相符","不相符")</f>
      </c>
      <c r="U766"/>
      <c r="V766">
        <f>P766*R766</f>
      </c>
      <c r="W766">
        <f>Q766*V766</f>
      </c>
      <c r="X766">
        <v>1095</v>
      </c>
      <c r="Y766" t="s">
        <v>1589</v>
      </c>
      <c r="Z766" t="s">
        <v>1432</v>
      </c>
      <c r="AA766"/>
      <c r="AB766"/>
      <c r="AC766" t="s">
        <v>49</v>
      </c>
      <c r="AD766"/>
    </row>
    <row r="767">
      <c r="A767" t="s">
        <v>30</v>
      </c>
      <c r="B767" t="s">
        <v>189</v>
      </c>
      <c r="C767" t="s">
        <v>1601</v>
      </c>
      <c r="D767" t="s">
        <v>191</v>
      </c>
      <c r="E767" t="s">
        <v>192</v>
      </c>
      <c r="F767" s="2">
        <v>46268</v>
      </c>
      <c r="G767">
        <v>32</v>
      </c>
      <c r="H767" t="s">
        <v>648</v>
      </c>
      <c r="I767" t="s">
        <v>649</v>
      </c>
      <c r="J767" t="s">
        <v>649</v>
      </c>
      <c r="K767" t="s">
        <v>419</v>
      </c>
      <c r="L767" t="s">
        <v>650</v>
      </c>
      <c r="M767">
        <v>608</v>
      </c>
      <c r="N767">
        <v>608</v>
      </c>
      <c r="O767" t="s">
        <v>177</v>
      </c>
      <c r="P767">
        <v>4</v>
      </c>
      <c r="Q767">
        <f>N767/P767</f>
      </c>
      <c r="R767" s="1">
        <v>323</v>
      </c>
      <c r="S767" s="1">
        <v>323</v>
      </c>
      <c r="T767">
        <f>IF(R767=S767,"相符","不相符")</f>
      </c>
      <c r="U767"/>
      <c r="V767">
        <f>P767*R767</f>
      </c>
      <c r="W767">
        <f>Q767*V767</f>
      </c>
      <c r="X767">
        <v>1095</v>
      </c>
      <c r="Y767" t="s">
        <v>1589</v>
      </c>
      <c r="Z767" t="s">
        <v>1432</v>
      </c>
      <c r="AA767"/>
      <c r="AB767"/>
      <c r="AC767" t="s">
        <v>49</v>
      </c>
      <c r="AD767"/>
    </row>
    <row r="768">
      <c r="A768" t="s">
        <v>30</v>
      </c>
      <c r="B768" t="s">
        <v>189</v>
      </c>
      <c r="C768" t="s">
        <v>1601</v>
      </c>
      <c r="D768" t="s">
        <v>191</v>
      </c>
      <c r="E768" t="s">
        <v>192</v>
      </c>
      <c r="F768" s="2">
        <v>46268</v>
      </c>
      <c r="G768">
        <v>33</v>
      </c>
      <c r="H768" t="s">
        <v>1210</v>
      </c>
      <c r="I768" t="s">
        <v>1211</v>
      </c>
      <c r="J768" t="s">
        <v>1211</v>
      </c>
      <c r="K768" t="s">
        <v>639</v>
      </c>
      <c r="L768" t="s">
        <v>1212</v>
      </c>
      <c r="M768">
        <v>72</v>
      </c>
      <c r="N768">
        <v>72</v>
      </c>
      <c r="O768" t="s">
        <v>177</v>
      </c>
      <c r="P768">
        <v>6</v>
      </c>
      <c r="Q768">
        <f>N768/P768</f>
      </c>
      <c r="R768" s="1">
        <v>193</v>
      </c>
      <c r="S768" s="1">
        <v>193</v>
      </c>
      <c r="T768">
        <f>IF(R768=S768,"相符","不相符")</f>
      </c>
      <c r="U768"/>
      <c r="V768">
        <f>P768*R768</f>
      </c>
      <c r="W768">
        <f>Q768*V768</f>
      </c>
      <c r="X768">
        <v>730</v>
      </c>
      <c r="Y768" t="s">
        <v>1632</v>
      </c>
      <c r="Z768" t="s">
        <v>1432</v>
      </c>
      <c r="AA768"/>
      <c r="AB768"/>
      <c r="AC768" t="s">
        <v>49</v>
      </c>
      <c r="AD768"/>
    </row>
    <row r="769">
      <c r="A769" t="s">
        <v>30</v>
      </c>
      <c r="B769" t="s">
        <v>189</v>
      </c>
      <c r="C769" t="s">
        <v>1601</v>
      </c>
      <c r="D769" t="s">
        <v>191</v>
      </c>
      <c r="E769" t="s">
        <v>192</v>
      </c>
      <c r="F769" s="2">
        <v>46268</v>
      </c>
      <c r="G769">
        <v>34</v>
      </c>
      <c r="H769" t="s">
        <v>670</v>
      </c>
      <c r="I769" t="s">
        <v>671</v>
      </c>
      <c r="J769" t="s">
        <v>671</v>
      </c>
      <c r="K769" t="s">
        <v>639</v>
      </c>
      <c r="L769" t="s">
        <v>672</v>
      </c>
      <c r="M769">
        <v>389</v>
      </c>
      <c r="N769">
        <v>380</v>
      </c>
      <c r="O769" t="s">
        <v>197</v>
      </c>
      <c r="P769">
        <v>10</v>
      </c>
      <c r="Q769">
        <f>N769/P769</f>
      </c>
      <c r="R769" s="1">
        <v>208</v>
      </c>
      <c r="S769" s="1">
        <v>208</v>
      </c>
      <c r="T769">
        <f>IF(R769=S769,"相符","不相符")</f>
      </c>
      <c r="U769"/>
      <c r="V769">
        <f>P769*R769</f>
      </c>
      <c r="W769">
        <f>Q769*V769</f>
      </c>
      <c r="X769">
        <v>540</v>
      </c>
      <c r="Y769" t="s">
        <v>1633</v>
      </c>
      <c r="Z769" t="s">
        <v>1432</v>
      </c>
      <c r="AA769"/>
      <c r="AB769"/>
      <c r="AC769" t="s">
        <v>49</v>
      </c>
      <c r="AD769"/>
    </row>
    <row r="770">
      <c r="A770" t="s">
        <v>30</v>
      </c>
      <c r="B770" t="s">
        <v>189</v>
      </c>
      <c r="C770" t="s">
        <v>1601</v>
      </c>
      <c r="D770" t="s">
        <v>191</v>
      </c>
      <c r="E770" t="s">
        <v>192</v>
      </c>
      <c r="F770" s="2">
        <v>46268</v>
      </c>
      <c r="G770">
        <v>35</v>
      </c>
      <c r="H770" t="s">
        <v>1634</v>
      </c>
      <c r="I770" t="s">
        <v>1635</v>
      </c>
      <c r="J770" t="s">
        <v>1635</v>
      </c>
      <c r="K770" t="s">
        <v>639</v>
      </c>
      <c r="L770" t="s">
        <v>1636</v>
      </c>
      <c r="M770">
        <v>3670</v>
      </c>
      <c r="N770">
        <v>3670</v>
      </c>
      <c r="O770" t="s">
        <v>197</v>
      </c>
      <c r="P770">
        <v>10</v>
      </c>
      <c r="Q770">
        <f>N770/P770</f>
      </c>
      <c r="R770" s="1">
        <v>208</v>
      </c>
      <c r="S770" s="1">
        <v>208</v>
      </c>
      <c r="T770">
        <f>IF(R770=S770,"相符","不相符")</f>
      </c>
      <c r="U770"/>
      <c r="V770">
        <f>P770*R770</f>
      </c>
      <c r="W770">
        <f>Q770*V770</f>
      </c>
      <c r="X770">
        <v>540</v>
      </c>
      <c r="Y770" t="s">
        <v>1633</v>
      </c>
      <c r="Z770" t="s">
        <v>1432</v>
      </c>
      <c r="AA770"/>
      <c r="AB770"/>
      <c r="AC770" t="s">
        <v>49</v>
      </c>
      <c r="AD770"/>
    </row>
    <row r="771">
      <c r="A771" t="s">
        <v>30</v>
      </c>
      <c r="B771" t="s">
        <v>189</v>
      </c>
      <c r="C771" t="s">
        <v>1601</v>
      </c>
      <c r="D771" t="s">
        <v>191</v>
      </c>
      <c r="E771" t="s">
        <v>192</v>
      </c>
      <c r="F771" s="2">
        <v>46268</v>
      </c>
      <c r="G771">
        <v>36</v>
      </c>
      <c r="H771" t="s">
        <v>1637</v>
      </c>
      <c r="I771" t="s">
        <v>1638</v>
      </c>
      <c r="J771" t="s">
        <v>1638</v>
      </c>
      <c r="K771" t="s">
        <v>639</v>
      </c>
      <c r="L771" t="s">
        <v>1639</v>
      </c>
      <c r="M771">
        <v>2200</v>
      </c>
      <c r="N771">
        <v>2200</v>
      </c>
      <c r="O771" t="s">
        <v>197</v>
      </c>
      <c r="P771">
        <v>10</v>
      </c>
      <c r="Q771">
        <f>N771/P771</f>
      </c>
      <c r="R771" s="1">
        <v>208</v>
      </c>
      <c r="S771" s="1">
        <v>208</v>
      </c>
      <c r="T771">
        <f>IF(R771=S771,"相符","不相符")</f>
      </c>
      <c r="U771"/>
      <c r="V771">
        <f>P771*R771</f>
      </c>
      <c r="W771">
        <f>Q771*V771</f>
      </c>
      <c r="X771">
        <v>540</v>
      </c>
      <c r="Y771" t="s">
        <v>1633</v>
      </c>
      <c r="Z771" t="s">
        <v>1432</v>
      </c>
      <c r="AA771"/>
      <c r="AB771"/>
      <c r="AC771" t="s">
        <v>49</v>
      </c>
      <c r="AD771"/>
    </row>
    <row r="772">
      <c r="A772" t="s">
        <v>30</v>
      </c>
      <c r="B772" t="s">
        <v>189</v>
      </c>
      <c r="C772" t="s">
        <v>1601</v>
      </c>
      <c r="D772" t="s">
        <v>191</v>
      </c>
      <c r="E772" t="s">
        <v>192</v>
      </c>
      <c r="F772" s="2">
        <v>46268</v>
      </c>
      <c r="G772">
        <v>37</v>
      </c>
      <c r="H772" t="s">
        <v>1640</v>
      </c>
      <c r="I772" t="s">
        <v>1641</v>
      </c>
      <c r="J772" t="s">
        <v>1641</v>
      </c>
      <c r="K772" t="s">
        <v>195</v>
      </c>
      <c r="L772" t="s">
        <v>1642</v>
      </c>
      <c r="M772">
        <v>360</v>
      </c>
      <c r="N772">
        <v>360</v>
      </c>
      <c r="O772" t="s">
        <v>197</v>
      </c>
      <c r="P772">
        <v>12</v>
      </c>
      <c r="Q772">
        <f>N772/P772</f>
      </c>
      <c r="R772" s="1">
        <v>74</v>
      </c>
      <c r="S772" s="1">
        <v>74</v>
      </c>
      <c r="T772">
        <f>IF(R772=S772,"相符","不相符")</f>
      </c>
      <c r="U772"/>
      <c r="V772">
        <f>P772*R772</f>
      </c>
      <c r="W772">
        <f>Q772*V772</f>
      </c>
      <c r="X772">
        <v>1095</v>
      </c>
      <c r="Y772" t="s">
        <v>1589</v>
      </c>
      <c r="Z772" t="s">
        <v>1432</v>
      </c>
      <c r="AA772"/>
      <c r="AB772"/>
      <c r="AC772" t="s">
        <v>49</v>
      </c>
      <c r="AD772"/>
    </row>
    <row r="773">
      <c r="A773" t="s">
        <v>30</v>
      </c>
      <c r="B773" t="s">
        <v>189</v>
      </c>
      <c r="C773" t="s">
        <v>1601</v>
      </c>
      <c r="D773" t="s">
        <v>191</v>
      </c>
      <c r="E773" t="s">
        <v>192</v>
      </c>
      <c r="F773" s="2">
        <v>46268</v>
      </c>
      <c r="G773">
        <v>38</v>
      </c>
      <c r="H773" t="s">
        <v>1643</v>
      </c>
      <c r="I773" t="s">
        <v>1644</v>
      </c>
      <c r="J773" t="s">
        <v>1644</v>
      </c>
      <c r="K773" t="s">
        <v>195</v>
      </c>
      <c r="L773" t="s">
        <v>1645</v>
      </c>
      <c r="M773">
        <v>259</v>
      </c>
      <c r="N773">
        <v>228</v>
      </c>
      <c r="O773" t="s">
        <v>197</v>
      </c>
      <c r="P773">
        <v>6</v>
      </c>
      <c r="Q773">
        <f>N773/P773</f>
      </c>
      <c r="R773" s="1">
        <v>177</v>
      </c>
      <c r="S773" s="1">
        <v>177</v>
      </c>
      <c r="T773">
        <f>IF(R773=S773,"相符","不相符")</f>
      </c>
      <c r="U773"/>
      <c r="V773">
        <f>P773*R773</f>
      </c>
      <c r="W773">
        <f>Q773*V773</f>
      </c>
      <c r="X773">
        <v>1095</v>
      </c>
      <c r="Y773" t="s">
        <v>1589</v>
      </c>
      <c r="Z773" t="s">
        <v>1432</v>
      </c>
      <c r="AA773"/>
      <c r="AB773"/>
      <c r="AC773" t="s">
        <v>49</v>
      </c>
      <c r="AD773"/>
    </row>
    <row r="774">
      <c r="A774" t="s">
        <v>30</v>
      </c>
      <c r="B774" t="s">
        <v>189</v>
      </c>
      <c r="C774" t="s">
        <v>1601</v>
      </c>
      <c r="D774" t="s">
        <v>191</v>
      </c>
      <c r="E774" t="s">
        <v>192</v>
      </c>
      <c r="F774" s="2">
        <v>46268</v>
      </c>
      <c r="G774">
        <v>39</v>
      </c>
      <c r="H774" t="s">
        <v>1646</v>
      </c>
      <c r="I774" t="s">
        <v>1647</v>
      </c>
      <c r="J774" t="s">
        <v>1647</v>
      </c>
      <c r="K774" t="s">
        <v>195</v>
      </c>
      <c r="L774" t="s">
        <v>1648</v>
      </c>
      <c r="M774">
        <v>453</v>
      </c>
      <c r="N774">
        <v>450</v>
      </c>
      <c r="O774" t="s">
        <v>197</v>
      </c>
      <c r="P774">
        <v>6</v>
      </c>
      <c r="Q774">
        <f>N774/P774</f>
      </c>
      <c r="R774" s="1">
        <v>177</v>
      </c>
      <c r="S774" s="1">
        <v>177</v>
      </c>
      <c r="T774">
        <f>IF(R774=S774,"相符","不相符")</f>
      </c>
      <c r="U774"/>
      <c r="V774">
        <f>P774*R774</f>
      </c>
      <c r="W774">
        <f>Q774*V774</f>
      </c>
      <c r="X774">
        <v>1095</v>
      </c>
      <c r="Y774" t="s">
        <v>1589</v>
      </c>
      <c r="Z774" t="s">
        <v>1432</v>
      </c>
      <c r="AA774"/>
      <c r="AB774"/>
      <c r="AC774" t="s">
        <v>49</v>
      </c>
      <c r="AD774"/>
    </row>
    <row r="775">
      <c r="A775" t="s">
        <v>30</v>
      </c>
      <c r="B775" t="s">
        <v>189</v>
      </c>
      <c r="C775" t="s">
        <v>1601</v>
      </c>
      <c r="D775" t="s">
        <v>191</v>
      </c>
      <c r="E775" t="s">
        <v>192</v>
      </c>
      <c r="F775" s="2">
        <v>46268</v>
      </c>
      <c r="G775">
        <v>40</v>
      </c>
      <c r="H775" t="s">
        <v>674</v>
      </c>
      <c r="I775" t="s">
        <v>675</v>
      </c>
      <c r="J775" t="s">
        <v>675</v>
      </c>
      <c r="K775" t="s">
        <v>195</v>
      </c>
      <c r="L775" t="s">
        <v>676</v>
      </c>
      <c r="M775">
        <v>1200</v>
      </c>
      <c r="N775">
        <v>1200</v>
      </c>
      <c r="O775" t="s">
        <v>197</v>
      </c>
      <c r="P775">
        <v>6</v>
      </c>
      <c r="Q775">
        <f>N775/P775</f>
      </c>
      <c r="R775" s="1">
        <v>177</v>
      </c>
      <c r="S775" s="1">
        <v>177</v>
      </c>
      <c r="T775">
        <f>IF(R775=S775,"相符","不相符")</f>
      </c>
      <c r="U775"/>
      <c r="V775">
        <f>P775*R775</f>
      </c>
      <c r="W775">
        <f>Q775*V775</f>
      </c>
      <c r="X775">
        <v>1095</v>
      </c>
      <c r="Y775" t="s">
        <v>1589</v>
      </c>
      <c r="Z775" t="s">
        <v>1432</v>
      </c>
      <c r="AA775"/>
      <c r="AB775"/>
      <c r="AC775" t="s">
        <v>49</v>
      </c>
      <c r="AD775"/>
    </row>
    <row r="776">
      <c r="A776" t="s">
        <v>30</v>
      </c>
      <c r="B776" t="s">
        <v>189</v>
      </c>
      <c r="C776" t="s">
        <v>1601</v>
      </c>
      <c r="D776" t="s">
        <v>191</v>
      </c>
      <c r="E776" t="s">
        <v>192</v>
      </c>
      <c r="F776" s="2">
        <v>46268</v>
      </c>
      <c r="G776">
        <v>41</v>
      </c>
      <c r="H776" t="s">
        <v>677</v>
      </c>
      <c r="I776" t="s">
        <v>678</v>
      </c>
      <c r="J776" t="s">
        <v>678</v>
      </c>
      <c r="K776" t="s">
        <v>195</v>
      </c>
      <c r="L776" t="s">
        <v>679</v>
      </c>
      <c r="M776">
        <v>3331</v>
      </c>
      <c r="N776">
        <v>3324</v>
      </c>
      <c r="O776" t="s">
        <v>197</v>
      </c>
      <c r="P776">
        <v>12</v>
      </c>
      <c r="Q776">
        <f>N776/P776</f>
      </c>
      <c r="R776" s="1">
        <v>131</v>
      </c>
      <c r="S776" s="1">
        <v>131</v>
      </c>
      <c r="T776">
        <f>IF(R776=S776,"相符","不相符")</f>
      </c>
      <c r="U776"/>
      <c r="V776">
        <f>P776*R776</f>
      </c>
      <c r="W776">
        <f>Q776*V776</f>
      </c>
      <c r="X776">
        <v>1095</v>
      </c>
      <c r="Y776" t="s">
        <v>1589</v>
      </c>
      <c r="Z776" t="s">
        <v>1432</v>
      </c>
      <c r="AA776"/>
      <c r="AB776"/>
      <c r="AC776" t="s">
        <v>49</v>
      </c>
      <c r="AD776"/>
    </row>
    <row r="777">
      <c r="A777" t="s">
        <v>30</v>
      </c>
      <c r="B777" t="s">
        <v>189</v>
      </c>
      <c r="C777" t="s">
        <v>1601</v>
      </c>
      <c r="D777" t="s">
        <v>191</v>
      </c>
      <c r="E777" t="s">
        <v>192</v>
      </c>
      <c r="F777" s="2">
        <v>46268</v>
      </c>
      <c r="G777">
        <v>42</v>
      </c>
      <c r="H777" t="s">
        <v>688</v>
      </c>
      <c r="I777" t="s">
        <v>689</v>
      </c>
      <c r="J777" t="s">
        <v>689</v>
      </c>
      <c r="K777" t="s">
        <v>639</v>
      </c>
      <c r="L777" t="s">
        <v>690</v>
      </c>
      <c r="M777">
        <v>2954</v>
      </c>
      <c r="N777">
        <v>2892</v>
      </c>
      <c r="O777" t="s">
        <v>197</v>
      </c>
      <c r="P777">
        <v>4</v>
      </c>
      <c r="Q777">
        <f>N777/P777</f>
      </c>
      <c r="R777" s="1">
        <v>447</v>
      </c>
      <c r="S777" s="1">
        <v>447</v>
      </c>
      <c r="T777">
        <f>IF(R777=S777,"相符","不相符")</f>
      </c>
      <c r="U777"/>
      <c r="V777">
        <f>P777*R777</f>
      </c>
      <c r="W777">
        <f>Q777*V777</f>
      </c>
      <c r="X777">
        <v>540</v>
      </c>
      <c r="Y777" t="s">
        <v>1633</v>
      </c>
      <c r="Z777" t="s">
        <v>1432</v>
      </c>
      <c r="AA777"/>
      <c r="AB777"/>
      <c r="AC777" t="s">
        <v>49</v>
      </c>
      <c r="AD777"/>
    </row>
    <row r="778">
      <c r="A778" t="s">
        <v>30</v>
      </c>
      <c r="B778" t="s">
        <v>189</v>
      </c>
      <c r="C778" t="s">
        <v>1601</v>
      </c>
      <c r="D778" t="s">
        <v>191</v>
      </c>
      <c r="E778" t="s">
        <v>192</v>
      </c>
      <c r="F778" s="2">
        <v>46268</v>
      </c>
      <c r="G778">
        <v>43</v>
      </c>
      <c r="H778" t="s">
        <v>1532</v>
      </c>
      <c r="I778" t="s">
        <v>1533</v>
      </c>
      <c r="J778" t="s">
        <v>1533</v>
      </c>
      <c r="K778" t="s">
        <v>195</v>
      </c>
      <c r="L778" t="s">
        <v>1534</v>
      </c>
      <c r="M778">
        <v>80</v>
      </c>
      <c r="N778">
        <v>80</v>
      </c>
      <c r="O778" t="s">
        <v>177</v>
      </c>
      <c r="P778">
        <v>16</v>
      </c>
      <c r="Q778">
        <f>N778/P778</f>
      </c>
      <c r="R778" s="1">
        <v>78</v>
      </c>
      <c r="S778" s="1">
        <v>78</v>
      </c>
      <c r="T778">
        <f>IF(R778=S778,"相符","不相符")</f>
      </c>
      <c r="U778"/>
      <c r="V778">
        <f>P778*R778</f>
      </c>
      <c r="W778">
        <f>Q778*V778</f>
      </c>
      <c r="X778">
        <v>1095</v>
      </c>
      <c r="Y778" t="s">
        <v>1589</v>
      </c>
      <c r="Z778" t="s">
        <v>1432</v>
      </c>
      <c r="AA778"/>
      <c r="AB778"/>
      <c r="AC778" t="s">
        <v>49</v>
      </c>
      <c r="AD778"/>
    </row>
    <row r="779">
      <c r="A779" t="s">
        <v>30</v>
      </c>
      <c r="B779" t="s">
        <v>189</v>
      </c>
      <c r="C779" t="s">
        <v>1601</v>
      </c>
      <c r="D779" t="s">
        <v>191</v>
      </c>
      <c r="E779" t="s">
        <v>192</v>
      </c>
      <c r="F779" s="2">
        <v>46268</v>
      </c>
      <c r="G779">
        <v>44</v>
      </c>
      <c r="H779" t="s">
        <v>1535</v>
      </c>
      <c r="I779" t="s">
        <v>1536</v>
      </c>
      <c r="J779" t="s">
        <v>1536</v>
      </c>
      <c r="K779" t="s">
        <v>195</v>
      </c>
      <c r="L779" t="s">
        <v>1537</v>
      </c>
      <c r="M779">
        <v>80</v>
      </c>
      <c r="N779">
        <v>80</v>
      </c>
      <c r="O779" t="s">
        <v>177</v>
      </c>
      <c r="P779">
        <v>16</v>
      </c>
      <c r="Q779">
        <f>N779/P779</f>
      </c>
      <c r="R779" s="1">
        <v>78</v>
      </c>
      <c r="S779" s="1">
        <v>78</v>
      </c>
      <c r="T779">
        <f>IF(R779=S779,"相符","不相符")</f>
      </c>
      <c r="U779"/>
      <c r="V779">
        <f>P779*R779</f>
      </c>
      <c r="W779">
        <f>Q779*V779</f>
      </c>
      <c r="X779">
        <v>1095</v>
      </c>
      <c r="Y779" t="s">
        <v>1589</v>
      </c>
      <c r="Z779" t="s">
        <v>1432</v>
      </c>
      <c r="AA779"/>
      <c r="AB779"/>
      <c r="AC779" t="s">
        <v>49</v>
      </c>
      <c r="AD779"/>
    </row>
    <row r="780">
      <c r="A780" t="s">
        <v>30</v>
      </c>
      <c r="B780" t="s">
        <v>189</v>
      </c>
      <c r="C780" t="s">
        <v>1601</v>
      </c>
      <c r="D780" t="s">
        <v>191</v>
      </c>
      <c r="E780" t="s">
        <v>192</v>
      </c>
      <c r="F780" s="2">
        <v>46268</v>
      </c>
      <c r="G780">
        <v>45</v>
      </c>
      <c r="H780" t="s">
        <v>812</v>
      </c>
      <c r="I780" t="s">
        <v>813</v>
      </c>
      <c r="J780" t="s">
        <v>813</v>
      </c>
      <c r="K780" t="s">
        <v>195</v>
      </c>
      <c r="L780" t="s">
        <v>814</v>
      </c>
      <c r="M780">
        <v>64</v>
      </c>
      <c r="N780">
        <v>64</v>
      </c>
      <c r="O780" t="s">
        <v>177</v>
      </c>
      <c r="P780">
        <v>16</v>
      </c>
      <c r="Q780">
        <f>N780/P780</f>
      </c>
      <c r="R780" s="1">
        <v>78</v>
      </c>
      <c r="S780" s="1">
        <v>78</v>
      </c>
      <c r="T780">
        <f>IF(R780=S780,"相符","不相符")</f>
      </c>
      <c r="U780"/>
      <c r="V780">
        <f>P780*R780</f>
      </c>
      <c r="W780">
        <f>Q780*V780</f>
      </c>
      <c r="X780">
        <v>1095</v>
      </c>
      <c r="Y780" t="s">
        <v>1589</v>
      </c>
      <c r="Z780" t="s">
        <v>1432</v>
      </c>
      <c r="AA780"/>
      <c r="AB780"/>
      <c r="AC780" t="s">
        <v>49</v>
      </c>
      <c r="AD780"/>
    </row>
    <row r="781">
      <c r="A781" t="s">
        <v>30</v>
      </c>
      <c r="B781" t="s">
        <v>189</v>
      </c>
      <c r="C781" t="s">
        <v>1601</v>
      </c>
      <c r="D781" t="s">
        <v>191</v>
      </c>
      <c r="E781" t="s">
        <v>192</v>
      </c>
      <c r="F781" s="2">
        <v>46268</v>
      </c>
      <c r="G781">
        <v>46</v>
      </c>
      <c r="H781" t="s">
        <v>785</v>
      </c>
      <c r="I781" t="s">
        <v>786</v>
      </c>
      <c r="J781" t="s">
        <v>786</v>
      </c>
      <c r="K781" t="s">
        <v>195</v>
      </c>
      <c r="L781" t="s">
        <v>787</v>
      </c>
      <c r="M781">
        <v>80</v>
      </c>
      <c r="N781">
        <v>68</v>
      </c>
      <c r="O781" t="s">
        <v>683</v>
      </c>
      <c r="P781">
        <v>1</v>
      </c>
      <c r="Q781">
        <f>N781/P781</f>
      </c>
      <c r="R781" s="1">
        <v>465</v>
      </c>
      <c r="S781" s="1">
        <v>465</v>
      </c>
      <c r="T781">
        <f>IF(R781=S781,"相符","不相符")</f>
      </c>
      <c r="U781"/>
      <c r="V781">
        <f>P781*R781</f>
      </c>
      <c r="W781">
        <f>Q781*V781</f>
      </c>
      <c r="X781">
        <v>1095</v>
      </c>
      <c r="Y781" t="s">
        <v>1589</v>
      </c>
      <c r="Z781" t="s">
        <v>1432</v>
      </c>
      <c r="AA781"/>
      <c r="AB781"/>
      <c r="AC781" t="s">
        <v>49</v>
      </c>
      <c r="AD781"/>
    </row>
    <row r="782">
      <c r="A782" t="s">
        <v>30</v>
      </c>
      <c r="B782" t="s">
        <v>189</v>
      </c>
      <c r="C782" t="s">
        <v>1601</v>
      </c>
      <c r="D782" t="s">
        <v>191</v>
      </c>
      <c r="E782" t="s">
        <v>192</v>
      </c>
      <c r="F782" s="2">
        <v>46268</v>
      </c>
      <c r="G782">
        <v>47</v>
      </c>
      <c r="H782" t="s">
        <v>680</v>
      </c>
      <c r="I782" t="s">
        <v>681</v>
      </c>
      <c r="J782" t="s">
        <v>681</v>
      </c>
      <c r="K782" t="s">
        <v>195</v>
      </c>
      <c r="L782" t="s">
        <v>682</v>
      </c>
      <c r="M782">
        <v>290</v>
      </c>
      <c r="N782">
        <v>290</v>
      </c>
      <c r="O782" t="s">
        <v>683</v>
      </c>
      <c r="P782">
        <v>1</v>
      </c>
      <c r="Q782">
        <f>N782/P782</f>
      </c>
      <c r="R782" s="1">
        <v>495</v>
      </c>
      <c r="S782" s="1">
        <v>495</v>
      </c>
      <c r="T782">
        <f>IF(R782=S782,"相符","不相符")</f>
      </c>
      <c r="U782"/>
      <c r="V782">
        <f>P782*R782</f>
      </c>
      <c r="W782">
        <f>Q782*V782</f>
      </c>
      <c r="X782">
        <v>1095</v>
      </c>
      <c r="Y782" t="s">
        <v>1589</v>
      </c>
      <c r="Z782" t="s">
        <v>1432</v>
      </c>
      <c r="AA782"/>
      <c r="AB782"/>
      <c r="AC782" t="s">
        <v>49</v>
      </c>
      <c r="AD782"/>
    </row>
    <row r="783">
      <c r="A783" t="s">
        <v>30</v>
      </c>
      <c r="B783" t="s">
        <v>189</v>
      </c>
      <c r="C783" t="s">
        <v>1601</v>
      </c>
      <c r="D783" t="s">
        <v>191</v>
      </c>
      <c r="E783" t="s">
        <v>192</v>
      </c>
      <c r="F783" s="2">
        <v>46268</v>
      </c>
      <c r="G783">
        <v>48</v>
      </c>
      <c r="H783" t="s">
        <v>1213</v>
      </c>
      <c r="I783" t="s">
        <v>1214</v>
      </c>
      <c r="J783" t="s">
        <v>1214</v>
      </c>
      <c r="K783" t="s">
        <v>195</v>
      </c>
      <c r="L783" t="s">
        <v>1215</v>
      </c>
      <c r="M783">
        <v>1150</v>
      </c>
      <c r="N783">
        <v>1150</v>
      </c>
      <c r="O783" t="s">
        <v>683</v>
      </c>
      <c r="P783">
        <v>1</v>
      </c>
      <c r="Q783">
        <f>N783/P783</f>
      </c>
      <c r="R783" s="1">
        <v>495</v>
      </c>
      <c r="S783" s="1">
        <v>495</v>
      </c>
      <c r="T783">
        <f>IF(R783=S783,"相符","不相符")</f>
      </c>
      <c r="U783"/>
      <c r="V783">
        <f>P783*R783</f>
      </c>
      <c r="W783">
        <f>Q783*V783</f>
      </c>
      <c r="X783">
        <v>1095</v>
      </c>
      <c r="Y783" t="s">
        <v>1589</v>
      </c>
      <c r="Z783" t="s">
        <v>1432</v>
      </c>
      <c r="AA783"/>
      <c r="AB783"/>
      <c r="AC783" t="s">
        <v>49</v>
      </c>
      <c r="AD783"/>
    </row>
    <row r="784">
      <c r="A784" t="s">
        <v>30</v>
      </c>
      <c r="B784" t="s">
        <v>189</v>
      </c>
      <c r="C784" t="s">
        <v>1601</v>
      </c>
      <c r="D784" t="s">
        <v>191</v>
      </c>
      <c r="E784" t="s">
        <v>192</v>
      </c>
      <c r="F784" s="2">
        <v>46268</v>
      </c>
      <c r="G784">
        <v>49</v>
      </c>
      <c r="H784" t="s">
        <v>1649</v>
      </c>
      <c r="I784" t="s">
        <v>1650</v>
      </c>
      <c r="J784" t="s">
        <v>1650</v>
      </c>
      <c r="K784" t="s">
        <v>195</v>
      </c>
      <c r="L784" t="s">
        <v>1651</v>
      </c>
      <c r="M784">
        <v>48</v>
      </c>
      <c r="N784">
        <v>48</v>
      </c>
      <c r="O784" t="s">
        <v>683</v>
      </c>
      <c r="P784">
        <v>1</v>
      </c>
      <c r="Q784">
        <f>N784/P784</f>
      </c>
      <c r="R784" s="1">
        <v>883</v>
      </c>
      <c r="S784" s="1">
        <v>883</v>
      </c>
      <c r="T784">
        <f>IF(R784=S784,"相符","不相符")</f>
      </c>
      <c r="U784"/>
      <c r="V784">
        <f>P784*R784</f>
      </c>
      <c r="W784">
        <f>Q784*V784</f>
      </c>
      <c r="X784">
        <v>1095</v>
      </c>
      <c r="Y784" t="s">
        <v>1589</v>
      </c>
      <c r="Z784" t="s">
        <v>1432</v>
      </c>
      <c r="AA784"/>
      <c r="AB784"/>
      <c r="AC784" t="s">
        <v>49</v>
      </c>
      <c r="AD784"/>
    </row>
    <row r="785">
      <c r="A785" t="s">
        <v>30</v>
      </c>
      <c r="B785" t="s">
        <v>189</v>
      </c>
      <c r="C785" t="s">
        <v>1601</v>
      </c>
      <c r="D785" t="s">
        <v>191</v>
      </c>
      <c r="E785" t="s">
        <v>192</v>
      </c>
      <c r="F785" s="2">
        <v>46268</v>
      </c>
      <c r="G785">
        <v>50</v>
      </c>
      <c r="H785" t="s">
        <v>1652</v>
      </c>
      <c r="I785" t="s">
        <v>1653</v>
      </c>
      <c r="J785" t="s">
        <v>1653</v>
      </c>
      <c r="K785" t="s">
        <v>457</v>
      </c>
      <c r="L785" t="s">
        <v>1654</v>
      </c>
      <c r="M785">
        <v>660</v>
      </c>
      <c r="N785">
        <v>656</v>
      </c>
      <c r="O785" t="s">
        <v>177</v>
      </c>
      <c r="P785">
        <v>8</v>
      </c>
      <c r="Q785">
        <f>N785/P785</f>
      </c>
      <c r="R785" s="1">
        <v>272</v>
      </c>
      <c r="S785" s="1">
        <v>272</v>
      </c>
      <c r="T785">
        <f>IF(R785=S785,"相符","不相符")</f>
      </c>
      <c r="U785"/>
      <c r="V785">
        <f>P785*R785</f>
      </c>
      <c r="W785">
        <f>Q785*V785</f>
      </c>
      <c r="X785">
        <v>730</v>
      </c>
      <c r="Y785" t="s">
        <v>1632</v>
      </c>
      <c r="Z785" t="s">
        <v>1432</v>
      </c>
      <c r="AA785"/>
      <c r="AB785"/>
      <c r="AC785" t="s">
        <v>49</v>
      </c>
      <c r="AD785"/>
    </row>
    <row r="786">
      <c r="A786" t="s">
        <v>30</v>
      </c>
      <c r="B786" t="s">
        <v>189</v>
      </c>
      <c r="C786" t="s">
        <v>1601</v>
      </c>
      <c r="D786" t="s">
        <v>191</v>
      </c>
      <c r="E786" t="s">
        <v>192</v>
      </c>
      <c r="F786" s="2">
        <v>46268</v>
      </c>
      <c r="G786">
        <v>51</v>
      </c>
      <c r="H786" t="s">
        <v>725</v>
      </c>
      <c r="I786" t="s">
        <v>726</v>
      </c>
      <c r="J786" t="s">
        <v>726</v>
      </c>
      <c r="K786" t="s">
        <v>457</v>
      </c>
      <c r="L786" t="s">
        <v>727</v>
      </c>
      <c r="M786">
        <v>1224</v>
      </c>
      <c r="N786">
        <v>256</v>
      </c>
      <c r="O786" t="s">
        <v>177</v>
      </c>
      <c r="P786">
        <v>8</v>
      </c>
      <c r="Q786">
        <f>N786/P786</f>
      </c>
      <c r="R786" s="1">
        <v>272</v>
      </c>
      <c r="S786" s="1">
        <v>272</v>
      </c>
      <c r="T786">
        <f>IF(R786=S786,"相符","不相符")</f>
      </c>
      <c r="U786"/>
      <c r="V786">
        <f>P786*R786</f>
      </c>
      <c r="W786">
        <f>Q786*V786</f>
      </c>
      <c r="X786">
        <v>730</v>
      </c>
      <c r="Y786" t="s">
        <v>1632</v>
      </c>
      <c r="Z786" t="s">
        <v>1432</v>
      </c>
      <c r="AA786"/>
      <c r="AB786"/>
      <c r="AC786" t="s">
        <v>49</v>
      </c>
      <c r="AD786"/>
    </row>
    <row r="787">
      <c r="A787" t="s">
        <v>30</v>
      </c>
      <c r="B787" t="s">
        <v>189</v>
      </c>
      <c r="C787" t="s">
        <v>1601</v>
      </c>
      <c r="D787" t="s">
        <v>191</v>
      </c>
      <c r="E787" t="s">
        <v>192</v>
      </c>
      <c r="F787" s="2">
        <v>46268</v>
      </c>
      <c r="G787">
        <v>52</v>
      </c>
      <c r="H787" t="s">
        <v>1550</v>
      </c>
      <c r="I787" t="s">
        <v>1551</v>
      </c>
      <c r="J787" t="s">
        <v>1551</v>
      </c>
      <c r="K787" t="s">
        <v>457</v>
      </c>
      <c r="L787" t="s">
        <v>1552</v>
      </c>
      <c r="M787">
        <v>728</v>
      </c>
      <c r="N787">
        <v>728</v>
      </c>
      <c r="O787" t="s">
        <v>177</v>
      </c>
      <c r="P787">
        <v>8</v>
      </c>
      <c r="Q787">
        <f>N787/P787</f>
      </c>
      <c r="R787" s="1">
        <v>272</v>
      </c>
      <c r="S787" s="1">
        <v>272</v>
      </c>
      <c r="T787">
        <f>IF(R787=S787,"相符","不相符")</f>
      </c>
      <c r="U787"/>
      <c r="V787">
        <f>P787*R787</f>
      </c>
      <c r="W787">
        <f>Q787*V787</f>
      </c>
      <c r="X787">
        <v>730</v>
      </c>
      <c r="Y787" t="s">
        <v>1632</v>
      </c>
      <c r="Z787" t="s">
        <v>1432</v>
      </c>
      <c r="AA787"/>
      <c r="AB787"/>
      <c r="AC787" t="s">
        <v>49</v>
      </c>
      <c r="AD787"/>
    </row>
    <row r="788">
      <c r="A788" t="s">
        <v>30</v>
      </c>
      <c r="B788" t="s">
        <v>189</v>
      </c>
      <c r="C788" t="s">
        <v>1601</v>
      </c>
      <c r="D788" t="s">
        <v>191</v>
      </c>
      <c r="E788" t="s">
        <v>192</v>
      </c>
      <c r="F788" s="2">
        <v>46268</v>
      </c>
      <c r="G788">
        <v>53</v>
      </c>
      <c r="H788" t="s">
        <v>751</v>
      </c>
      <c r="I788" t="s">
        <v>752</v>
      </c>
      <c r="J788" t="s">
        <v>752</v>
      </c>
      <c r="K788" t="s">
        <v>457</v>
      </c>
      <c r="L788" t="s">
        <v>753</v>
      </c>
      <c r="M788">
        <v>400</v>
      </c>
      <c r="N788">
        <v>400</v>
      </c>
      <c r="O788" t="s">
        <v>177</v>
      </c>
      <c r="P788">
        <v>8</v>
      </c>
      <c r="Q788">
        <f>N788/P788</f>
      </c>
      <c r="R788" s="1">
        <v>272</v>
      </c>
      <c r="S788" s="1">
        <v>272</v>
      </c>
      <c r="T788">
        <f>IF(R788=S788,"相符","不相符")</f>
      </c>
      <c r="U788"/>
      <c r="V788">
        <f>P788*R788</f>
      </c>
      <c r="W788">
        <f>Q788*V788</f>
      </c>
      <c r="X788">
        <v>730</v>
      </c>
      <c r="Y788" t="s">
        <v>1632</v>
      </c>
      <c r="Z788" t="s">
        <v>1432</v>
      </c>
      <c r="AA788"/>
      <c r="AB788"/>
      <c r="AC788" t="s">
        <v>49</v>
      </c>
      <c r="AD788"/>
    </row>
    <row r="789">
      <c r="A789" t="s">
        <v>30</v>
      </c>
      <c r="B789" t="s">
        <v>189</v>
      </c>
      <c r="C789" t="s">
        <v>1601</v>
      </c>
      <c r="D789" t="s">
        <v>191</v>
      </c>
      <c r="E789" t="s">
        <v>192</v>
      </c>
      <c r="F789" s="2">
        <v>46268</v>
      </c>
      <c r="G789">
        <v>54</v>
      </c>
      <c r="H789" t="s">
        <v>1655</v>
      </c>
      <c r="I789" t="s">
        <v>1656</v>
      </c>
      <c r="J789" t="s">
        <v>1656</v>
      </c>
      <c r="K789" t="s">
        <v>457</v>
      </c>
      <c r="L789" t="s">
        <v>1657</v>
      </c>
      <c r="M789">
        <v>338</v>
      </c>
      <c r="N789">
        <v>336</v>
      </c>
      <c r="O789" t="s">
        <v>177</v>
      </c>
      <c r="P789">
        <v>8</v>
      </c>
      <c r="Q789">
        <f>N789/P789</f>
      </c>
      <c r="R789" s="1">
        <v>272</v>
      </c>
      <c r="S789" s="1">
        <v>272</v>
      </c>
      <c r="T789">
        <f>IF(R789=S789,"相符","不相符")</f>
      </c>
      <c r="U789"/>
      <c r="V789">
        <f>P789*R789</f>
      </c>
      <c r="W789">
        <f>Q789*V789</f>
      </c>
      <c r="X789">
        <v>730</v>
      </c>
      <c r="Y789" t="s">
        <v>1632</v>
      </c>
      <c r="Z789" t="s">
        <v>1432</v>
      </c>
      <c r="AA789"/>
      <c r="AB789"/>
      <c r="AC789" t="s">
        <v>49</v>
      </c>
      <c r="AD789"/>
    </row>
    <row r="790">
      <c r="A790" t="s">
        <v>30</v>
      </c>
      <c r="B790" t="s">
        <v>189</v>
      </c>
      <c r="C790" t="s">
        <v>1601</v>
      </c>
      <c r="D790" t="s">
        <v>191</v>
      </c>
      <c r="E790" t="s">
        <v>192</v>
      </c>
      <c r="F790" s="2">
        <v>46268</v>
      </c>
      <c r="G790">
        <v>55</v>
      </c>
      <c r="H790" t="s">
        <v>728</v>
      </c>
      <c r="I790" t="s">
        <v>729</v>
      </c>
      <c r="J790" t="s">
        <v>729</v>
      </c>
      <c r="K790" t="s">
        <v>457</v>
      </c>
      <c r="L790" t="s">
        <v>730</v>
      </c>
      <c r="M790">
        <v>304</v>
      </c>
      <c r="N790">
        <v>304</v>
      </c>
      <c r="O790" t="s">
        <v>177</v>
      </c>
      <c r="P790">
        <v>8</v>
      </c>
      <c r="Q790">
        <f>N790/P790</f>
      </c>
      <c r="R790" s="1">
        <v>272</v>
      </c>
      <c r="S790" s="1">
        <v>272</v>
      </c>
      <c r="T790">
        <f>IF(R790=S790,"相符","不相符")</f>
      </c>
      <c r="U790"/>
      <c r="V790">
        <f>P790*R790</f>
      </c>
      <c r="W790">
        <f>Q790*V790</f>
      </c>
      <c r="X790">
        <v>730</v>
      </c>
      <c r="Y790" t="s">
        <v>1632</v>
      </c>
      <c r="Z790" t="s">
        <v>1432</v>
      </c>
      <c r="AA790"/>
      <c r="AB790"/>
      <c r="AC790" t="s">
        <v>49</v>
      </c>
      <c r="AD790"/>
    </row>
    <row r="791">
      <c r="A791" t="s">
        <v>30</v>
      </c>
      <c r="B791" t="s">
        <v>189</v>
      </c>
      <c r="C791" t="s">
        <v>1601</v>
      </c>
      <c r="D791" t="s">
        <v>191</v>
      </c>
      <c r="E791" t="s">
        <v>192</v>
      </c>
      <c r="F791" s="2">
        <v>46268</v>
      </c>
      <c r="G791">
        <v>56</v>
      </c>
      <c r="H791" t="s">
        <v>794</v>
      </c>
      <c r="I791" t="s">
        <v>795</v>
      </c>
      <c r="J791" t="s">
        <v>795</v>
      </c>
      <c r="K791" t="s">
        <v>457</v>
      </c>
      <c r="L791" t="s">
        <v>796</v>
      </c>
      <c r="M791">
        <v>2082</v>
      </c>
      <c r="N791">
        <v>800</v>
      </c>
      <c r="O791" t="s">
        <v>177</v>
      </c>
      <c r="P791">
        <v>8</v>
      </c>
      <c r="Q791">
        <f>N791/P791</f>
      </c>
      <c r="R791" s="1">
        <v>272</v>
      </c>
      <c r="S791" s="1">
        <v>272</v>
      </c>
      <c r="T791">
        <f>IF(R791=S791,"相符","不相符")</f>
      </c>
      <c r="U791"/>
      <c r="V791">
        <f>P791*R791</f>
      </c>
      <c r="W791">
        <f>Q791*V791</f>
      </c>
      <c r="X791">
        <v>730</v>
      </c>
      <c r="Y791" t="s">
        <v>1632</v>
      </c>
      <c r="Z791" t="s">
        <v>1432</v>
      </c>
      <c r="AA791"/>
      <c r="AB791"/>
      <c r="AC791" t="s">
        <v>49</v>
      </c>
      <c r="AD791"/>
    </row>
    <row r="792">
      <c r="A792" t="s">
        <v>30</v>
      </c>
      <c r="B792" t="s">
        <v>189</v>
      </c>
      <c r="C792" t="s">
        <v>1601</v>
      </c>
      <c r="D792" t="s">
        <v>191</v>
      </c>
      <c r="E792" t="s">
        <v>192</v>
      </c>
      <c r="F792" s="2">
        <v>46268</v>
      </c>
      <c r="G792">
        <v>57</v>
      </c>
      <c r="H792" t="s">
        <v>1658</v>
      </c>
      <c r="I792" t="s">
        <v>1659</v>
      </c>
      <c r="J792" t="s">
        <v>1659</v>
      </c>
      <c r="K792" t="s">
        <v>657</v>
      </c>
      <c r="L792" t="s">
        <v>1660</v>
      </c>
      <c r="M792">
        <v>187</v>
      </c>
      <c r="N792">
        <v>184</v>
      </c>
      <c r="O792" t="s">
        <v>435</v>
      </c>
      <c r="P792">
        <v>4</v>
      </c>
      <c r="Q792">
        <f>N792/P792</f>
      </c>
      <c r="R792" s="1">
        <v>289</v>
      </c>
      <c r="S792" s="1">
        <v>289</v>
      </c>
      <c r="T792">
        <f>IF(R792=S792,"相符","不相符")</f>
      </c>
      <c r="U792"/>
      <c r="V792">
        <f>P792*R792</f>
      </c>
      <c r="W792">
        <f>Q792*V792</f>
      </c>
      <c r="X792">
        <v>1825</v>
      </c>
      <c r="Y792" t="s">
        <v>1661</v>
      </c>
      <c r="Z792" t="s">
        <v>1432</v>
      </c>
      <c r="AA792"/>
      <c r="AB792"/>
      <c r="AC792" t="s">
        <v>49</v>
      </c>
      <c r="AD792"/>
    </row>
    <row r="793">
      <c r="A793" t="s">
        <v>30</v>
      </c>
      <c r="B793" t="s">
        <v>189</v>
      </c>
      <c r="C793" t="s">
        <v>1601</v>
      </c>
      <c r="D793" t="s">
        <v>191</v>
      </c>
      <c r="E793" t="s">
        <v>192</v>
      </c>
      <c r="F793" s="2">
        <v>46268</v>
      </c>
      <c r="G793">
        <v>58</v>
      </c>
      <c r="H793" t="s">
        <v>1662</v>
      </c>
      <c r="I793" t="s">
        <v>1663</v>
      </c>
      <c r="J793" t="s">
        <v>1663</v>
      </c>
      <c r="K793" t="s">
        <v>1664</v>
      </c>
      <c r="L793" t="s">
        <v>1665</v>
      </c>
      <c r="M793">
        <v>429</v>
      </c>
      <c r="N793">
        <v>428</v>
      </c>
      <c r="O793" t="s">
        <v>240</v>
      </c>
      <c r="P793">
        <v>4</v>
      </c>
      <c r="Q793">
        <f>N793/P793</f>
      </c>
      <c r="R793" s="1">
        <v>564</v>
      </c>
      <c r="S793" s="1">
        <v>564</v>
      </c>
      <c r="T793">
        <f>IF(R793=S793,"相符","不相符")</f>
      </c>
      <c r="U793"/>
      <c r="V793">
        <f>P793*R793</f>
      </c>
      <c r="W793">
        <f>Q793*V793</f>
      </c>
      <c r="X793">
        <v>730</v>
      </c>
      <c r="Y793" t="s">
        <v>1632</v>
      </c>
      <c r="Z793" t="s">
        <v>1432</v>
      </c>
      <c r="AA793"/>
      <c r="AB793"/>
      <c r="AC793" t="s">
        <v>49</v>
      </c>
      <c r="AD793"/>
    </row>
    <row r="794">
      <c r="A794" t="s">
        <v>30</v>
      </c>
      <c r="B794" t="s">
        <v>189</v>
      </c>
      <c r="C794" t="s">
        <v>1601</v>
      </c>
      <c r="D794" t="s">
        <v>191</v>
      </c>
      <c r="E794" t="s">
        <v>192</v>
      </c>
      <c r="F794" s="2">
        <v>46268</v>
      </c>
      <c r="G794">
        <v>59</v>
      </c>
      <c r="H794" t="s">
        <v>1666</v>
      </c>
      <c r="I794" t="s">
        <v>1667</v>
      </c>
      <c r="J794" t="s">
        <v>1667</v>
      </c>
      <c r="K794" t="s">
        <v>657</v>
      </c>
      <c r="L794" t="s">
        <v>1668</v>
      </c>
      <c r="M794">
        <v>94</v>
      </c>
      <c r="N794">
        <v>92</v>
      </c>
      <c r="O794" t="s">
        <v>435</v>
      </c>
      <c r="P794">
        <v>4</v>
      </c>
      <c r="Q794">
        <f>N794/P794</f>
      </c>
      <c r="R794" s="1">
        <v>428</v>
      </c>
      <c r="S794" s="1">
        <v>428</v>
      </c>
      <c r="T794">
        <f>IF(R794=S794,"相符","不相符")</f>
      </c>
      <c r="U794"/>
      <c r="V794">
        <f>P794*R794</f>
      </c>
      <c r="W794">
        <f>Q794*V794</f>
      </c>
      <c r="X794">
        <v>1825</v>
      </c>
      <c r="Y794" t="s">
        <v>1661</v>
      </c>
      <c r="Z794" t="s">
        <v>1432</v>
      </c>
      <c r="AA794"/>
      <c r="AB794"/>
      <c r="AC794" t="s">
        <v>49</v>
      </c>
      <c r="AD794"/>
    </row>
    <row r="795">
      <c r="A795" t="s">
        <v>30</v>
      </c>
      <c r="B795" t="s">
        <v>189</v>
      </c>
      <c r="C795" t="s">
        <v>1601</v>
      </c>
      <c r="D795" t="s">
        <v>191</v>
      </c>
      <c r="E795" t="s">
        <v>192</v>
      </c>
      <c r="F795" s="2">
        <v>46268</v>
      </c>
      <c r="G795">
        <v>60</v>
      </c>
      <c r="H795" t="s">
        <v>715</v>
      </c>
      <c r="I795" t="s">
        <v>716</v>
      </c>
      <c r="J795" t="s">
        <v>716</v>
      </c>
      <c r="K795" t="s">
        <v>717</v>
      </c>
      <c r="L795" t="s">
        <v>718</v>
      </c>
      <c r="M795">
        <v>187</v>
      </c>
      <c r="N795">
        <v>168</v>
      </c>
      <c r="O795" t="s">
        <v>435</v>
      </c>
      <c r="P795">
        <v>24</v>
      </c>
      <c r="Q795">
        <f>N795/P795</f>
      </c>
      <c r="R795" s="1">
        <v>57</v>
      </c>
      <c r="S795" s="1">
        <v>57</v>
      </c>
      <c r="T795">
        <f>IF(R795=S795,"相符","不相符")</f>
      </c>
      <c r="U795"/>
      <c r="V795">
        <f>P795*R795</f>
      </c>
      <c r="W795">
        <f>Q795*V795</f>
      </c>
      <c r="X795">
        <v>730</v>
      </c>
      <c r="Y795" t="s">
        <v>1598</v>
      </c>
      <c r="Z795" t="s">
        <v>1432</v>
      </c>
      <c r="AA795"/>
      <c r="AB795"/>
      <c r="AC795" t="s">
        <v>49</v>
      </c>
      <c r="AD795"/>
    </row>
    <row r="796">
      <c r="A796" t="s">
        <v>30</v>
      </c>
      <c r="B796" t="s">
        <v>189</v>
      </c>
      <c r="C796" t="s">
        <v>1601</v>
      </c>
      <c r="D796" t="s">
        <v>191</v>
      </c>
      <c r="E796" t="s">
        <v>192</v>
      </c>
      <c r="F796" s="2">
        <v>46268</v>
      </c>
      <c r="G796">
        <v>61</v>
      </c>
      <c r="H796" t="s">
        <v>1669</v>
      </c>
      <c r="I796" t="s">
        <v>1670</v>
      </c>
      <c r="J796" t="s">
        <v>1670</v>
      </c>
      <c r="K796" t="s">
        <v>717</v>
      </c>
      <c r="L796" t="s">
        <v>1671</v>
      </c>
      <c r="M796">
        <v>187</v>
      </c>
      <c r="N796">
        <v>168</v>
      </c>
      <c r="O796" t="s">
        <v>435</v>
      </c>
      <c r="P796">
        <v>24</v>
      </c>
      <c r="Q796">
        <f>N796/P796</f>
      </c>
      <c r="R796" s="1">
        <v>57</v>
      </c>
      <c r="S796" s="1">
        <v>57</v>
      </c>
      <c r="T796">
        <f>IF(R796=S796,"相符","不相符")</f>
      </c>
      <c r="U796"/>
      <c r="V796">
        <f>P796*R796</f>
      </c>
      <c r="W796">
        <f>Q796*V796</f>
      </c>
      <c r="X796">
        <v>730</v>
      </c>
      <c r="Y796" t="s">
        <v>1589</v>
      </c>
      <c r="Z796" t="s">
        <v>1432</v>
      </c>
      <c r="AA796"/>
      <c r="AB796"/>
      <c r="AC796" t="s">
        <v>49</v>
      </c>
      <c r="AD796"/>
    </row>
    <row r="797">
      <c r="A797" t="s">
        <v>30</v>
      </c>
      <c r="B797" t="s">
        <v>189</v>
      </c>
      <c r="C797" t="s">
        <v>1601</v>
      </c>
      <c r="D797" t="s">
        <v>191</v>
      </c>
      <c r="E797" t="s">
        <v>192</v>
      </c>
      <c r="F797" s="2">
        <v>46268</v>
      </c>
      <c r="G797">
        <v>62</v>
      </c>
      <c r="H797" t="s">
        <v>719</v>
      </c>
      <c r="I797" t="s">
        <v>720</v>
      </c>
      <c r="J797" t="s">
        <v>720</v>
      </c>
      <c r="K797" t="s">
        <v>717</v>
      </c>
      <c r="L797" t="s">
        <v>721</v>
      </c>
      <c r="M797">
        <v>187</v>
      </c>
      <c r="N797">
        <v>168</v>
      </c>
      <c r="O797" t="s">
        <v>435</v>
      </c>
      <c r="P797">
        <v>24</v>
      </c>
      <c r="Q797">
        <f>N797/P797</f>
      </c>
      <c r="R797" s="1">
        <v>57</v>
      </c>
      <c r="S797" s="1">
        <v>57</v>
      </c>
      <c r="T797">
        <f>IF(R797=S797,"相符","不相符")</f>
      </c>
      <c r="U797"/>
      <c r="V797">
        <f>P797*R797</f>
      </c>
      <c r="W797">
        <f>Q797*V797</f>
      </c>
      <c r="X797">
        <v>730</v>
      </c>
      <c r="Y797" t="s">
        <v>1589</v>
      </c>
      <c r="Z797" t="s">
        <v>1432</v>
      </c>
      <c r="AA797"/>
      <c r="AB797"/>
      <c r="AC797" t="s">
        <v>49</v>
      </c>
      <c r="AD797"/>
    </row>
    <row r="798">
      <c r="A798" t="s">
        <v>30</v>
      </c>
      <c r="B798" t="s">
        <v>189</v>
      </c>
      <c r="C798" t="s">
        <v>1601</v>
      </c>
      <c r="D798" t="s">
        <v>191</v>
      </c>
      <c r="E798" t="s">
        <v>192</v>
      </c>
      <c r="F798" s="2">
        <v>46268</v>
      </c>
      <c r="G798">
        <v>63</v>
      </c>
      <c r="H798" t="s">
        <v>1672</v>
      </c>
      <c r="I798" t="s">
        <v>1673</v>
      </c>
      <c r="J798" t="s">
        <v>1673</v>
      </c>
      <c r="K798" t="s">
        <v>717</v>
      </c>
      <c r="L798" t="s">
        <v>1674</v>
      </c>
      <c r="M798">
        <v>94</v>
      </c>
      <c r="N798">
        <v>92</v>
      </c>
      <c r="O798" t="s">
        <v>683</v>
      </c>
      <c r="P798">
        <v>4</v>
      </c>
      <c r="Q798">
        <f>N798/P798</f>
      </c>
      <c r="R798" s="1">
        <v>342</v>
      </c>
      <c r="S798" s="1">
        <v>342</v>
      </c>
      <c r="T798">
        <f>IF(R798=S798,"相符","不相符")</f>
      </c>
      <c r="U798"/>
      <c r="V798">
        <f>P798*R798</f>
      </c>
      <c r="W798">
        <f>Q798*V798</f>
      </c>
      <c r="X798">
        <v>730</v>
      </c>
      <c r="Y798" t="s">
        <v>1589</v>
      </c>
      <c r="Z798" t="s">
        <v>1432</v>
      </c>
      <c r="AA798"/>
      <c r="AB798"/>
      <c r="AC798" t="s">
        <v>49</v>
      </c>
      <c r="AD798"/>
    </row>
    <row r="799">
      <c r="A799" t="s">
        <v>30</v>
      </c>
      <c r="B799" t="s">
        <v>189</v>
      </c>
      <c r="C799" t="s">
        <v>1601</v>
      </c>
      <c r="D799" t="s">
        <v>191</v>
      </c>
      <c r="E799" t="s">
        <v>192</v>
      </c>
      <c r="F799" s="2">
        <v>46268</v>
      </c>
      <c r="G799">
        <v>64</v>
      </c>
      <c r="H799" t="s">
        <v>1675</v>
      </c>
      <c r="I799" t="s">
        <v>1676</v>
      </c>
      <c r="J799" t="s">
        <v>1676</v>
      </c>
      <c r="K799" t="s">
        <v>717</v>
      </c>
      <c r="L799" t="s">
        <v>1677</v>
      </c>
      <c r="M799">
        <v>94</v>
      </c>
      <c r="N799">
        <v>92</v>
      </c>
      <c r="O799" t="s">
        <v>683</v>
      </c>
      <c r="P799">
        <v>4</v>
      </c>
      <c r="Q799">
        <f>N799/P799</f>
      </c>
      <c r="R799" s="1">
        <v>342</v>
      </c>
      <c r="S799" s="1">
        <v>342</v>
      </c>
      <c r="T799">
        <f>IF(R799=S799,"相符","不相符")</f>
      </c>
      <c r="U799"/>
      <c r="V799">
        <f>P799*R799</f>
      </c>
      <c r="W799">
        <f>Q799*V799</f>
      </c>
      <c r="X799">
        <v>730</v>
      </c>
      <c r="Y799" t="s">
        <v>1589</v>
      </c>
      <c r="Z799" t="s">
        <v>1432</v>
      </c>
      <c r="AA799"/>
      <c r="AB799"/>
      <c r="AC799" t="s">
        <v>49</v>
      </c>
      <c r="AD799"/>
    </row>
    <row r="800">
      <c r="A800" t="s">
        <v>30</v>
      </c>
      <c r="B800" t="s">
        <v>189</v>
      </c>
      <c r="C800" t="s">
        <v>1601</v>
      </c>
      <c r="D800" t="s">
        <v>191</v>
      </c>
      <c r="E800" t="s">
        <v>192</v>
      </c>
      <c r="F800" s="2">
        <v>46268</v>
      </c>
      <c r="G800">
        <v>65</v>
      </c>
      <c r="H800" t="s">
        <v>1678</v>
      </c>
      <c r="I800" t="s">
        <v>1679</v>
      </c>
      <c r="J800" t="s">
        <v>1679</v>
      </c>
      <c r="K800" t="s">
        <v>717</v>
      </c>
      <c r="L800" t="s">
        <v>1680</v>
      </c>
      <c r="M800">
        <v>94</v>
      </c>
      <c r="N800">
        <v>92</v>
      </c>
      <c r="O800" t="s">
        <v>683</v>
      </c>
      <c r="P800">
        <v>4</v>
      </c>
      <c r="Q800">
        <f>N800/P800</f>
      </c>
      <c r="R800" s="1">
        <v>342</v>
      </c>
      <c r="S800" s="1">
        <v>342</v>
      </c>
      <c r="T800">
        <f>IF(R800=S800,"相符","不相符")</f>
      </c>
      <c r="U800"/>
      <c r="V800">
        <f>P800*R800</f>
      </c>
      <c r="W800">
        <f>Q800*V800</f>
      </c>
      <c r="X800">
        <v>730</v>
      </c>
      <c r="Y800" t="s">
        <v>1589</v>
      </c>
      <c r="Z800" t="s">
        <v>1432</v>
      </c>
      <c r="AA800"/>
      <c r="AB800"/>
      <c r="AC800" t="s">
        <v>49</v>
      </c>
      <c r="AD800"/>
    </row>
    <row r="801">
      <c r="A801" t="s">
        <v>30</v>
      </c>
      <c r="B801" t="s">
        <v>189</v>
      </c>
      <c r="C801" t="s">
        <v>1681</v>
      </c>
      <c r="D801" t="s">
        <v>262</v>
      </c>
      <c r="E801" t="s">
        <v>263</v>
      </c>
      <c r="F801" s="2">
        <v>46268</v>
      </c>
      <c r="G801">
        <v>1</v>
      </c>
      <c r="H801" t="s">
        <v>626</v>
      </c>
      <c r="I801" t="s">
        <v>627</v>
      </c>
      <c r="J801" t="s">
        <v>628</v>
      </c>
      <c r="K801" t="s">
        <v>419</v>
      </c>
      <c r="L801" t="s">
        <v>629</v>
      </c>
      <c r="M801">
        <v>3000</v>
      </c>
      <c r="N801">
        <v>1716</v>
      </c>
      <c r="O801" t="s">
        <v>84</v>
      </c>
      <c r="P801">
        <v>1</v>
      </c>
      <c r="Q801">
        <f>N801/P801</f>
      </c>
      <c r="R801" s="1">
        <v>1150</v>
      </c>
      <c r="S801" s="1">
        <v>1150</v>
      </c>
      <c r="T801">
        <f>IF(R801=S801,"相符","不相符")</f>
      </c>
      <c r="U801"/>
      <c r="V801">
        <f>P801*R801</f>
      </c>
      <c r="W801">
        <f>Q801*V801</f>
      </c>
      <c r="X801">
        <v>1095</v>
      </c>
      <c r="Y801" t="s">
        <v>1589</v>
      </c>
      <c r="Z801" t="s">
        <v>1432</v>
      </c>
      <c r="AA801"/>
      <c r="AB801"/>
      <c r="AC801" t="s">
        <v>49</v>
      </c>
      <c r="AD801"/>
    </row>
    <row r="802">
      <c r="A802" t="s">
        <v>30</v>
      </c>
      <c r="B802" t="s">
        <v>189</v>
      </c>
      <c r="C802" t="s">
        <v>1682</v>
      </c>
      <c r="D802" t="s">
        <v>191</v>
      </c>
      <c r="E802" t="s">
        <v>192</v>
      </c>
      <c r="F802" s="2">
        <v>46268</v>
      </c>
      <c r="G802">
        <v>1</v>
      </c>
      <c r="H802" t="s">
        <v>754</v>
      </c>
      <c r="I802" t="s">
        <v>755</v>
      </c>
      <c r="J802" t="s">
        <v>755</v>
      </c>
      <c r="K802" t="s">
        <v>450</v>
      </c>
      <c r="L802" t="s">
        <v>756</v>
      </c>
      <c r="M802">
        <v>60</v>
      </c>
      <c r="N802">
        <v>60</v>
      </c>
      <c r="O802" t="s">
        <v>197</v>
      </c>
      <c r="P802">
        <v>10</v>
      </c>
      <c r="Q802">
        <f>N802/P802</f>
      </c>
      <c r="R802" s="1">
        <v>200</v>
      </c>
      <c r="S802" s="1">
        <v>200</v>
      </c>
      <c r="T802">
        <f>IF(R802=S802,"相符","不相符")</f>
      </c>
      <c r="U802"/>
      <c r="V802">
        <f>P802*R802</f>
      </c>
      <c r="W802">
        <f>Q802*V802</f>
      </c>
      <c r="X802">
        <v>540</v>
      </c>
      <c r="Y802" t="s">
        <v>1683</v>
      </c>
      <c r="Z802" t="s">
        <v>1432</v>
      </c>
      <c r="AA802"/>
      <c r="AB802"/>
      <c r="AC802" t="s">
        <v>49</v>
      </c>
      <c r="AD802"/>
    </row>
    <row r="803">
      <c r="A803" t="s">
        <v>30</v>
      </c>
      <c r="B803" t="s">
        <v>189</v>
      </c>
      <c r="C803" t="s">
        <v>1682</v>
      </c>
      <c r="D803" t="s">
        <v>191</v>
      </c>
      <c r="E803" t="s">
        <v>192</v>
      </c>
      <c r="F803" s="2">
        <v>46268</v>
      </c>
      <c r="G803">
        <v>2</v>
      </c>
      <c r="H803" t="s">
        <v>448</v>
      </c>
      <c r="I803" t="s">
        <v>449</v>
      </c>
      <c r="J803" t="s">
        <v>449</v>
      </c>
      <c r="K803" t="s">
        <v>450</v>
      </c>
      <c r="L803" t="s">
        <v>451</v>
      </c>
      <c r="M803">
        <v>60</v>
      </c>
      <c r="N803">
        <v>60</v>
      </c>
      <c r="O803" t="s">
        <v>197</v>
      </c>
      <c r="P803">
        <v>10</v>
      </c>
      <c r="Q803">
        <f>N803/P803</f>
      </c>
      <c r="R803" s="1">
        <v>200</v>
      </c>
      <c r="S803" s="1">
        <v>200</v>
      </c>
      <c r="T803">
        <f>IF(R803=S803,"相符","不相符")</f>
      </c>
      <c r="U803"/>
      <c r="V803">
        <f>P803*R803</f>
      </c>
      <c r="W803">
        <f>Q803*V803</f>
      </c>
      <c r="X803">
        <v>540</v>
      </c>
      <c r="Y803" t="s">
        <v>1633</v>
      </c>
      <c r="Z803" t="s">
        <v>1432</v>
      </c>
      <c r="AA803"/>
      <c r="AB803"/>
      <c r="AC803" t="s">
        <v>49</v>
      </c>
      <c r="AD803"/>
    </row>
    <row r="804">
      <c r="A804" t="s">
        <v>30</v>
      </c>
      <c r="B804" t="s">
        <v>189</v>
      </c>
      <c r="C804" t="s">
        <v>1684</v>
      </c>
      <c r="D804" t="s">
        <v>191</v>
      </c>
      <c r="E804" t="s">
        <v>192</v>
      </c>
      <c r="F804" s="2">
        <v>46268</v>
      </c>
      <c r="G804">
        <v>1</v>
      </c>
      <c r="H804" t="s">
        <v>808</v>
      </c>
      <c r="I804" t="s">
        <v>809</v>
      </c>
      <c r="J804" t="s">
        <v>809</v>
      </c>
      <c r="K804" t="s">
        <v>639</v>
      </c>
      <c r="L804" t="s">
        <v>810</v>
      </c>
      <c r="M804">
        <v>600</v>
      </c>
      <c r="N804">
        <v>600</v>
      </c>
      <c r="O804" t="s">
        <v>177</v>
      </c>
      <c r="P804">
        <v>6</v>
      </c>
      <c r="Q804">
        <f>N804/P804</f>
      </c>
      <c r="R804" s="1">
        <v>193</v>
      </c>
      <c r="S804" s="1">
        <v>193</v>
      </c>
      <c r="T804">
        <f>IF(R804=S804,"相符","不相符")</f>
      </c>
      <c r="U804"/>
      <c r="V804">
        <f>P804*R804</f>
      </c>
      <c r="W804">
        <f>Q804*V804</f>
      </c>
      <c r="X804">
        <v>730</v>
      </c>
      <c r="Y804" t="s">
        <v>1632</v>
      </c>
      <c r="Z804" t="s">
        <v>573</v>
      </c>
      <c r="AA804"/>
      <c r="AB804"/>
      <c r="AC804" t="s">
        <v>49</v>
      </c>
      <c r="AD804"/>
    </row>
    <row r="805">
      <c r="A805" t="s">
        <v>30</v>
      </c>
      <c r="B805" t="s">
        <v>189</v>
      </c>
      <c r="C805" t="s">
        <v>1685</v>
      </c>
      <c r="D805" t="s">
        <v>262</v>
      </c>
      <c r="E805" t="s">
        <v>263</v>
      </c>
      <c r="F805" s="2">
        <v>46267</v>
      </c>
      <c r="G805">
        <v>1</v>
      </c>
      <c r="H805" t="s">
        <v>1686</v>
      </c>
      <c r="I805" t="s">
        <v>1687</v>
      </c>
      <c r="J805" t="s">
        <v>1687</v>
      </c>
      <c r="K805" t="s">
        <v>419</v>
      </c>
      <c r="L805" t="s">
        <v>1688</v>
      </c>
      <c r="M805">
        <v>700</v>
      </c>
      <c r="N805">
        <v>200</v>
      </c>
      <c r="O805" t="s">
        <v>84</v>
      </c>
      <c r="P805">
        <v>1</v>
      </c>
      <c r="Q805">
        <f>N805/P805</f>
      </c>
      <c r="R805" s="1">
        <v>1232</v>
      </c>
      <c r="S805" s="1">
        <v>1232</v>
      </c>
      <c r="T805">
        <f>IF(R805=S805,"相符","不相符")</f>
      </c>
      <c r="U805"/>
      <c r="V805">
        <f>P805*R805</f>
      </c>
      <c r="W805">
        <f>Q805*V805</f>
      </c>
      <c r="X805">
        <v>1095</v>
      </c>
      <c r="Y805" t="s">
        <v>1592</v>
      </c>
      <c r="Z805" t="s">
        <v>573</v>
      </c>
      <c r="AA805"/>
      <c r="AB805"/>
      <c r="AC805" t="s">
        <v>49</v>
      </c>
      <c r="AD805"/>
    </row>
    <row r="806">
      <c r="A806" t="s">
        <v>30</v>
      </c>
      <c r="B806" t="s">
        <v>189</v>
      </c>
      <c r="C806" t="s">
        <v>1685</v>
      </c>
      <c r="D806" t="s">
        <v>262</v>
      </c>
      <c r="E806" t="s">
        <v>263</v>
      </c>
      <c r="F806" s="2">
        <v>46267</v>
      </c>
      <c r="G806">
        <v>2</v>
      </c>
      <c r="H806" t="s">
        <v>1689</v>
      </c>
      <c r="I806" t="s">
        <v>1690</v>
      </c>
      <c r="J806" t="s">
        <v>1690</v>
      </c>
      <c r="K806" t="s">
        <v>419</v>
      </c>
      <c r="L806" t="s">
        <v>1691</v>
      </c>
      <c r="M806">
        <v>486</v>
      </c>
      <c r="N806">
        <v>300</v>
      </c>
      <c r="O806" t="s">
        <v>84</v>
      </c>
      <c r="P806">
        <v>1</v>
      </c>
      <c r="Q806">
        <f>N806/P806</f>
      </c>
      <c r="R806" s="1">
        <v>1232</v>
      </c>
      <c r="S806" s="1">
        <v>1232</v>
      </c>
      <c r="T806">
        <f>IF(R806=S806,"相符","不相符")</f>
      </c>
      <c r="U806"/>
      <c r="V806">
        <f>P806*R806</f>
      </c>
      <c r="W806">
        <f>Q806*V806</f>
      </c>
      <c r="X806">
        <v>1095</v>
      </c>
      <c r="Y806" t="s">
        <v>1592</v>
      </c>
      <c r="Z806" t="s">
        <v>573</v>
      </c>
      <c r="AA806"/>
      <c r="AB806"/>
      <c r="AC806" t="s">
        <v>49</v>
      </c>
      <c r="AD806"/>
    </row>
    <row r="807">
      <c r="A807" t="s">
        <v>30</v>
      </c>
      <c r="B807" t="s">
        <v>233</v>
      </c>
      <c r="C807" t="s">
        <v>1692</v>
      </c>
      <c r="D807" t="s">
        <v>33</v>
      </c>
      <c r="E807" t="s">
        <v>34</v>
      </c>
      <c r="F807" s="2">
        <v>46268</v>
      </c>
      <c r="G807">
        <v>1</v>
      </c>
      <c r="H807" t="s">
        <v>480</v>
      </c>
      <c r="I807" t="s">
        <v>481</v>
      </c>
      <c r="J807" t="s">
        <v>482</v>
      </c>
      <c r="K807" t="s">
        <v>238</v>
      </c>
      <c r="L807" t="s">
        <v>483</v>
      </c>
      <c r="M807">
        <v>191</v>
      </c>
      <c r="N807">
        <v>186</v>
      </c>
      <c r="O807" t="s">
        <v>240</v>
      </c>
      <c r="P807">
        <v>6</v>
      </c>
      <c r="Q807">
        <f>N807/P807</f>
      </c>
      <c r="R807" s="1">
        <v>167</v>
      </c>
      <c r="S807" s="1">
        <v>167</v>
      </c>
      <c r="T807">
        <f>IF(R807=S807,"相符","不相符")</f>
      </c>
      <c r="U807"/>
      <c r="V807">
        <f>P807*R807</f>
      </c>
      <c r="W807">
        <f>Q807*V807</f>
      </c>
      <c r="X807">
        <v>1095</v>
      </c>
      <c r="Y807" t="s">
        <v>1598</v>
      </c>
      <c r="Z807" t="s">
        <v>573</v>
      </c>
      <c r="AA807"/>
      <c r="AB807"/>
      <c r="AC807" t="s">
        <v>243</v>
      </c>
      <c r="AD807"/>
    </row>
    <row r="808">
      <c r="A808" t="s">
        <v>30</v>
      </c>
      <c r="B808" t="s">
        <v>233</v>
      </c>
      <c r="C808" t="s">
        <v>1692</v>
      </c>
      <c r="D808" t="s">
        <v>33</v>
      </c>
      <c r="E808" t="s">
        <v>34</v>
      </c>
      <c r="F808" s="2">
        <v>46268</v>
      </c>
      <c r="G808">
        <v>2</v>
      </c>
      <c r="H808" t="s">
        <v>1693</v>
      </c>
      <c r="I808" t="s">
        <v>1694</v>
      </c>
      <c r="J808" t="s">
        <v>1695</v>
      </c>
      <c r="K808" t="s">
        <v>238</v>
      </c>
      <c r="L808" t="s">
        <v>1696</v>
      </c>
      <c r="M808">
        <v>49</v>
      </c>
      <c r="N808">
        <v>48</v>
      </c>
      <c r="O808" t="s">
        <v>240</v>
      </c>
      <c r="P808">
        <v>12</v>
      </c>
      <c r="Q808">
        <f>N808/P808</f>
      </c>
      <c r="R808" s="1">
        <v>84</v>
      </c>
      <c r="S808" s="1">
        <v>84</v>
      </c>
      <c r="T808">
        <f>IF(R808=S808,"相符","不相符")</f>
      </c>
      <c r="U808"/>
      <c r="V808">
        <f>P808*R808</f>
      </c>
      <c r="W808">
        <f>Q808*V808</f>
      </c>
      <c r="X808">
        <v>1095</v>
      </c>
      <c r="Y808" t="s">
        <v>1589</v>
      </c>
      <c r="Z808" t="s">
        <v>573</v>
      </c>
      <c r="AA808"/>
      <c r="AB808"/>
      <c r="AC808" t="s">
        <v>243</v>
      </c>
      <c r="AD808"/>
    </row>
    <row r="809">
      <c r="A809" t="s">
        <v>30</v>
      </c>
      <c r="B809" t="s">
        <v>254</v>
      </c>
      <c r="C809" t="s">
        <v>1692</v>
      </c>
      <c r="D809" t="s">
        <v>33</v>
      </c>
      <c r="E809" t="s">
        <v>34</v>
      </c>
      <c r="F809" s="2">
        <v>46268</v>
      </c>
      <c r="G809">
        <v>3</v>
      </c>
      <c r="H809" t="s">
        <v>255</v>
      </c>
      <c r="I809" t="s">
        <v>256</v>
      </c>
      <c r="J809" t="s">
        <v>257</v>
      </c>
      <c r="K809" t="s">
        <v>258</v>
      </c>
      <c r="L809" t="s">
        <v>259</v>
      </c>
      <c r="M809">
        <v>99</v>
      </c>
      <c r="N809">
        <v>90</v>
      </c>
      <c r="O809" t="s">
        <v>197</v>
      </c>
      <c r="P809">
        <v>10</v>
      </c>
      <c r="Q809">
        <f>N809/P809</f>
      </c>
      <c r="R809" s="1">
        <v>44</v>
      </c>
      <c r="S809" s="1">
        <v>44</v>
      </c>
      <c r="T809">
        <f>IF(R809=S809,"相符","不相符")</f>
      </c>
      <c r="U809"/>
      <c r="V809">
        <f>P809*R809</f>
      </c>
      <c r="W809">
        <f>Q809*V809</f>
      </c>
      <c r="X809">
        <v>1095</v>
      </c>
      <c r="Y809" t="s">
        <v>1661</v>
      </c>
      <c r="Z809" t="s">
        <v>573</v>
      </c>
      <c r="AA809"/>
      <c r="AB809"/>
      <c r="AC809" t="s">
        <v>243</v>
      </c>
      <c r="AD809"/>
    </row>
    <row r="810">
      <c r="A810" t="s">
        <v>30</v>
      </c>
      <c r="B810" t="s">
        <v>233</v>
      </c>
      <c r="C810" t="s">
        <v>1697</v>
      </c>
      <c r="D810" t="s">
        <v>191</v>
      </c>
      <c r="E810" t="s">
        <v>192</v>
      </c>
      <c r="F810" s="2">
        <v>46268</v>
      </c>
      <c r="G810">
        <v>1</v>
      </c>
      <c r="H810" t="s">
        <v>480</v>
      </c>
      <c r="I810" t="s">
        <v>481</v>
      </c>
      <c r="J810" t="s">
        <v>482</v>
      </c>
      <c r="K810" t="s">
        <v>238</v>
      </c>
      <c r="L810" t="s">
        <v>483</v>
      </c>
      <c r="M810">
        <v>264</v>
      </c>
      <c r="N810">
        <v>264</v>
      </c>
      <c r="O810" t="s">
        <v>240</v>
      </c>
      <c r="P810">
        <v>6</v>
      </c>
      <c r="Q810">
        <f>N810/P810</f>
      </c>
      <c r="R810" s="1">
        <v>167</v>
      </c>
      <c r="S810" s="1">
        <v>167</v>
      </c>
      <c r="T810">
        <f>IF(R810=S810,"相符","不相符")</f>
      </c>
      <c r="U810"/>
      <c r="V810">
        <f>P810*R810</f>
      </c>
      <c r="W810">
        <f>Q810*V810</f>
      </c>
      <c r="X810">
        <v>1095</v>
      </c>
      <c r="Y810" t="s">
        <v>1598</v>
      </c>
      <c r="Z810" t="s">
        <v>573</v>
      </c>
      <c r="AA810"/>
      <c r="AB810"/>
      <c r="AC810" t="s">
        <v>243</v>
      </c>
      <c r="AD810"/>
    </row>
    <row r="811">
      <c r="A811" t="s">
        <v>30</v>
      </c>
      <c r="B811" t="s">
        <v>233</v>
      </c>
      <c r="C811" t="s">
        <v>1697</v>
      </c>
      <c r="D811" t="s">
        <v>191</v>
      </c>
      <c r="E811" t="s">
        <v>192</v>
      </c>
      <c r="F811" s="2">
        <v>46268</v>
      </c>
      <c r="G811">
        <v>2</v>
      </c>
      <c r="H811" t="s">
        <v>1315</v>
      </c>
      <c r="I811" t="s">
        <v>1316</v>
      </c>
      <c r="J811" t="s">
        <v>1317</v>
      </c>
      <c r="K811" t="s">
        <v>238</v>
      </c>
      <c r="L811" t="s">
        <v>1318</v>
      </c>
      <c r="M811">
        <v>822</v>
      </c>
      <c r="N811">
        <v>822</v>
      </c>
      <c r="O811" t="s">
        <v>177</v>
      </c>
      <c r="P811">
        <v>6</v>
      </c>
      <c r="Q811">
        <f>N811/P811</f>
      </c>
      <c r="R811" s="1">
        <v>123</v>
      </c>
      <c r="S811" s="1">
        <v>123</v>
      </c>
      <c r="T811">
        <f>IF(R811=S811,"相符","不相符")</f>
      </c>
      <c r="U811"/>
      <c r="V811">
        <f>P811*R811</f>
      </c>
      <c r="W811">
        <f>Q811*V811</f>
      </c>
      <c r="X811">
        <v>1095</v>
      </c>
      <c r="Y811" t="s">
        <v>1598</v>
      </c>
      <c r="Z811" t="s">
        <v>573</v>
      </c>
      <c r="AA811"/>
      <c r="AB811"/>
      <c r="AC811" t="s">
        <v>243</v>
      </c>
      <c r="AD811"/>
    </row>
    <row r="812">
      <c r="A812" t="s">
        <v>30</v>
      </c>
      <c r="B812" t="s">
        <v>254</v>
      </c>
      <c r="C812" t="s">
        <v>1697</v>
      </c>
      <c r="D812" t="s">
        <v>191</v>
      </c>
      <c r="E812" t="s">
        <v>192</v>
      </c>
      <c r="F812" s="2">
        <v>46268</v>
      </c>
      <c r="G812">
        <v>3</v>
      </c>
      <c r="H812" t="s">
        <v>488</v>
      </c>
      <c r="I812" t="s">
        <v>489</v>
      </c>
      <c r="J812" t="s">
        <v>490</v>
      </c>
      <c r="K812" t="s">
        <v>491</v>
      </c>
      <c r="L812" t="s">
        <v>492</v>
      </c>
      <c r="M812">
        <v>1900</v>
      </c>
      <c r="N812">
        <v>1900</v>
      </c>
      <c r="O812" t="s">
        <v>197</v>
      </c>
      <c r="P812">
        <v>20</v>
      </c>
      <c r="Q812">
        <f>N812/P812</f>
      </c>
      <c r="R812" s="1">
        <v>55</v>
      </c>
      <c r="S812" s="1">
        <v>55</v>
      </c>
      <c r="T812">
        <f>IF(R812=S812,"相符","不相符")</f>
      </c>
      <c r="U812"/>
      <c r="V812">
        <f>P812*R812</f>
      </c>
      <c r="W812">
        <f>Q812*V812</f>
      </c>
      <c r="X812">
        <v>1825</v>
      </c>
      <c r="Y812" t="s">
        <v>1600</v>
      </c>
      <c r="Z812" t="s">
        <v>573</v>
      </c>
      <c r="AA812"/>
      <c r="AB812"/>
      <c r="AC812" t="s">
        <v>243</v>
      </c>
      <c r="AD812"/>
    </row>
    <row r="813">
      <c r="A813" t="s">
        <v>30</v>
      </c>
      <c r="B813" t="s">
        <v>233</v>
      </c>
      <c r="C813" t="s">
        <v>1697</v>
      </c>
      <c r="D813" t="s">
        <v>191</v>
      </c>
      <c r="E813" t="s">
        <v>192</v>
      </c>
      <c r="F813" s="2">
        <v>46268</v>
      </c>
      <c r="G813">
        <v>4</v>
      </c>
      <c r="H813" t="s">
        <v>1384</v>
      </c>
      <c r="I813" t="s">
        <v>1385</v>
      </c>
      <c r="J813" t="s">
        <v>1386</v>
      </c>
      <c r="K813" t="s">
        <v>238</v>
      </c>
      <c r="L813" t="s">
        <v>1387</v>
      </c>
      <c r="M813">
        <v>218</v>
      </c>
      <c r="N813">
        <v>144</v>
      </c>
      <c r="O813" t="s">
        <v>240</v>
      </c>
      <c r="P813">
        <v>12</v>
      </c>
      <c r="Q813">
        <f>N813/P813</f>
      </c>
      <c r="R813" s="1">
        <v>73</v>
      </c>
      <c r="S813" s="1">
        <v>73</v>
      </c>
      <c r="T813">
        <f>IF(R813=S813,"相符","不相符")</f>
      </c>
      <c r="U813"/>
      <c r="V813">
        <f>P813*R813</f>
      </c>
      <c r="W813">
        <f>Q813*V813</f>
      </c>
      <c r="X813">
        <v>1095</v>
      </c>
      <c r="Y813" t="s">
        <v>1598</v>
      </c>
      <c r="Z813" t="s">
        <v>573</v>
      </c>
      <c r="AA813"/>
      <c r="AB813"/>
      <c r="AC813" t="s">
        <v>243</v>
      </c>
      <c r="AD813"/>
    </row>
    <row r="814">
      <c r="A814" t="s">
        <v>30</v>
      </c>
      <c r="B814" t="s">
        <v>254</v>
      </c>
      <c r="C814" t="s">
        <v>1697</v>
      </c>
      <c r="D814" t="s">
        <v>191</v>
      </c>
      <c r="E814" t="s">
        <v>192</v>
      </c>
      <c r="F814" s="2">
        <v>46268</v>
      </c>
      <c r="G814">
        <v>5</v>
      </c>
      <c r="H814" t="s">
        <v>1698</v>
      </c>
      <c r="I814" t="s">
        <v>1699</v>
      </c>
      <c r="J814" t="s">
        <v>1700</v>
      </c>
      <c r="K814" t="s">
        <v>491</v>
      </c>
      <c r="L814" t="s">
        <v>1701</v>
      </c>
      <c r="M814">
        <v>180</v>
      </c>
      <c r="N814">
        <v>180</v>
      </c>
      <c r="O814" t="s">
        <v>197</v>
      </c>
      <c r="P814">
        <v>10</v>
      </c>
      <c r="Q814">
        <f>N814/P814</f>
      </c>
      <c r="R814" s="1">
        <v>105</v>
      </c>
      <c r="S814" s="1">
        <v>105</v>
      </c>
      <c r="T814">
        <f>IF(R814=S814,"相符","不相符")</f>
      </c>
      <c r="U814"/>
      <c r="V814">
        <f>P814*R814</f>
      </c>
      <c r="W814">
        <f>Q814*V814</f>
      </c>
      <c r="X814">
        <v>1825</v>
      </c>
      <c r="Y814" t="s">
        <v>1600</v>
      </c>
      <c r="Z814" t="s">
        <v>573</v>
      </c>
      <c r="AA814"/>
      <c r="AB814"/>
      <c r="AC814" t="s">
        <v>243</v>
      </c>
      <c r="AD814"/>
    </row>
    <row r="815">
      <c r="A815" t="s">
        <v>30</v>
      </c>
      <c r="B815" t="s">
        <v>233</v>
      </c>
      <c r="C815" t="s">
        <v>1697</v>
      </c>
      <c r="D815" t="s">
        <v>191</v>
      </c>
      <c r="E815" t="s">
        <v>192</v>
      </c>
      <c r="F815" s="2">
        <v>46268</v>
      </c>
      <c r="G815">
        <v>6</v>
      </c>
      <c r="H815" t="s">
        <v>278</v>
      </c>
      <c r="I815" t="s">
        <v>279</v>
      </c>
      <c r="J815" t="s">
        <v>280</v>
      </c>
      <c r="K815" t="s">
        <v>238</v>
      </c>
      <c r="L815" t="s">
        <v>281</v>
      </c>
      <c r="M815">
        <v>1092</v>
      </c>
      <c r="N815">
        <v>1092</v>
      </c>
      <c r="O815" t="s">
        <v>177</v>
      </c>
      <c r="P815">
        <v>12</v>
      </c>
      <c r="Q815">
        <f>N815/P815</f>
      </c>
      <c r="R815" s="1">
        <v>74</v>
      </c>
      <c r="S815" s="1">
        <v>74</v>
      </c>
      <c r="T815">
        <f>IF(R815=S815,"相符","不相符")</f>
      </c>
      <c r="U815"/>
      <c r="V815">
        <f>P815*R815</f>
      </c>
      <c r="W815">
        <f>Q815*V815</f>
      </c>
      <c r="X815">
        <v>1095</v>
      </c>
      <c r="Y815" t="s">
        <v>1598</v>
      </c>
      <c r="Z815" t="s">
        <v>573</v>
      </c>
      <c r="AA815"/>
      <c r="AB815"/>
      <c r="AC815" t="s">
        <v>243</v>
      </c>
      <c r="AD815"/>
    </row>
    <row r="816">
      <c r="A816" t="s">
        <v>30</v>
      </c>
      <c r="B816" t="s">
        <v>254</v>
      </c>
      <c r="C816" t="s">
        <v>1702</v>
      </c>
      <c r="D816" t="s">
        <v>33</v>
      </c>
      <c r="E816" t="s">
        <v>34</v>
      </c>
      <c r="F816" s="2">
        <v>46267</v>
      </c>
      <c r="G816">
        <v>1</v>
      </c>
      <c r="H816" t="s">
        <v>272</v>
      </c>
      <c r="I816" t="s">
        <v>273</v>
      </c>
      <c r="J816" t="s">
        <v>274</v>
      </c>
      <c r="K816" t="s">
        <v>258</v>
      </c>
      <c r="L816" t="s">
        <v>275</v>
      </c>
      <c r="M816">
        <v>36</v>
      </c>
      <c r="N816">
        <v>32</v>
      </c>
      <c r="O816" t="s">
        <v>197</v>
      </c>
      <c r="P816">
        <v>8</v>
      </c>
      <c r="Q816">
        <f>N816/P816</f>
      </c>
      <c r="R816" s="1">
        <v>65</v>
      </c>
      <c r="S816" s="1">
        <v>65</v>
      </c>
      <c r="T816">
        <f>IF(R816=S816,"相符","不相符")</f>
      </c>
      <c r="U816" t="s">
        <v>276</v>
      </c>
      <c r="V816">
        <f>P816*R816</f>
      </c>
      <c r="W816">
        <f>Q816*V816</f>
      </c>
      <c r="X816">
        <v>1825</v>
      </c>
      <c r="Y816" t="s">
        <v>1703</v>
      </c>
      <c r="Z816" t="s">
        <v>573</v>
      </c>
      <c r="AA816"/>
      <c r="AB816"/>
      <c r="AC816" t="s">
        <v>243</v>
      </c>
      <c r="AD816"/>
    </row>
    <row r="817">
      <c r="A817" t="s">
        <v>30</v>
      </c>
      <c r="B817" t="s">
        <v>233</v>
      </c>
      <c r="C817" t="s">
        <v>1702</v>
      </c>
      <c r="D817" t="s">
        <v>33</v>
      </c>
      <c r="E817" t="s">
        <v>34</v>
      </c>
      <c r="F817" s="2">
        <v>46267</v>
      </c>
      <c r="G817">
        <v>2</v>
      </c>
      <c r="H817" t="s">
        <v>284</v>
      </c>
      <c r="I817" t="s">
        <v>285</v>
      </c>
      <c r="J817" t="s">
        <v>286</v>
      </c>
      <c r="K817" t="s">
        <v>238</v>
      </c>
      <c r="L817" t="s">
        <v>287</v>
      </c>
      <c r="M817">
        <v>97</v>
      </c>
      <c r="N817">
        <v>96</v>
      </c>
      <c r="O817" t="s">
        <v>240</v>
      </c>
      <c r="P817">
        <v>12</v>
      </c>
      <c r="Q817">
        <f>N817/P817</f>
      </c>
      <c r="R817" s="1">
        <v>64</v>
      </c>
      <c r="S817" s="1">
        <v>64</v>
      </c>
      <c r="T817">
        <f>IF(R817=S817,"相符","不相符")</f>
      </c>
      <c r="U817"/>
      <c r="V817">
        <f>P817*R817</f>
      </c>
      <c r="W817">
        <f>Q817*V817</f>
      </c>
      <c r="X817">
        <v>1095</v>
      </c>
      <c r="Y817" t="s">
        <v>1704</v>
      </c>
      <c r="Z817" t="s">
        <v>573</v>
      </c>
      <c r="AA817"/>
      <c r="AB817"/>
      <c r="AC817" t="s">
        <v>243</v>
      </c>
      <c r="AD817"/>
    </row>
    <row r="818">
      <c r="A818" t="s">
        <v>30</v>
      </c>
      <c r="B818" t="s">
        <v>233</v>
      </c>
      <c r="C818" t="s">
        <v>1702</v>
      </c>
      <c r="D818" t="s">
        <v>33</v>
      </c>
      <c r="E818" t="s">
        <v>34</v>
      </c>
      <c r="F818" s="2">
        <v>46267</v>
      </c>
      <c r="G818">
        <v>3</v>
      </c>
      <c r="H818" t="s">
        <v>1705</v>
      </c>
      <c r="I818" t="s">
        <v>1706</v>
      </c>
      <c r="J818" t="s">
        <v>1707</v>
      </c>
      <c r="K818" t="s">
        <v>238</v>
      </c>
      <c r="L818" t="s">
        <v>1708</v>
      </c>
      <c r="M818">
        <v>81</v>
      </c>
      <c r="N818">
        <v>72</v>
      </c>
      <c r="O818" t="s">
        <v>177</v>
      </c>
      <c r="P818">
        <v>12</v>
      </c>
      <c r="Q818">
        <f>N818/P818</f>
      </c>
      <c r="R818" s="1">
        <v>74</v>
      </c>
      <c r="S818" s="1">
        <v>74</v>
      </c>
      <c r="T818">
        <f>IF(R818=S818,"相符","不相符")</f>
      </c>
      <c r="U818"/>
      <c r="V818">
        <f>P818*R818</f>
      </c>
      <c r="W818">
        <f>Q818*V818</f>
      </c>
      <c r="X818">
        <v>1095</v>
      </c>
      <c r="Y818" t="s">
        <v>1704</v>
      </c>
      <c r="Z818" t="s">
        <v>573</v>
      </c>
      <c r="AA818"/>
      <c r="AB818"/>
      <c r="AC818" t="s">
        <v>243</v>
      </c>
      <c r="AD818"/>
    </row>
    <row r="819">
      <c r="A819" t="s">
        <v>30</v>
      </c>
      <c r="B819" t="s">
        <v>31</v>
      </c>
      <c r="C819" t="s">
        <v>1709</v>
      </c>
      <c r="D819" t="s">
        <v>478</v>
      </c>
      <c r="E819" t="s">
        <v>479</v>
      </c>
      <c r="F819" s="2">
        <v>46267</v>
      </c>
      <c r="G819">
        <v>1</v>
      </c>
      <c r="H819" t="s">
        <v>1710</v>
      </c>
      <c r="I819" t="s">
        <v>1711</v>
      </c>
      <c r="J819" t="s">
        <v>1712</v>
      </c>
      <c r="K819" t="s">
        <v>38</v>
      </c>
      <c r="L819" t="s">
        <v>1713</v>
      </c>
      <c r="M819">
        <v>180</v>
      </c>
      <c r="N819">
        <v>180</v>
      </c>
      <c r="O819" t="s">
        <v>40</v>
      </c>
      <c r="P819">
        <v>36</v>
      </c>
      <c r="Q819">
        <f>N819/P819</f>
      </c>
      <c r="R819" s="1">
        <v>78</v>
      </c>
      <c r="S819" s="1">
        <v>78</v>
      </c>
      <c r="T819">
        <f>IF(R819=S819,"相符","不相符")</f>
      </c>
      <c r="U819" t="s">
        <v>1712</v>
      </c>
      <c r="V819">
        <f>P819*R819</f>
      </c>
      <c r="W819">
        <f>Q819*V819</f>
      </c>
      <c r="X819">
        <v>450</v>
      </c>
      <c r="Y819" t="s">
        <v>471</v>
      </c>
      <c r="Z819" t="s">
        <v>42</v>
      </c>
      <c r="AA819"/>
      <c r="AB819"/>
      <c r="AC819" t="s">
        <v>49</v>
      </c>
      <c r="AD819"/>
    </row>
    <row r="820">
      <c r="A820" t="s">
        <v>30</v>
      </c>
      <c r="B820" t="s">
        <v>31</v>
      </c>
      <c r="C820" t="s">
        <v>1709</v>
      </c>
      <c r="D820" t="s">
        <v>478</v>
      </c>
      <c r="E820" t="s">
        <v>479</v>
      </c>
      <c r="F820" s="2">
        <v>46267</v>
      </c>
      <c r="G820">
        <v>2</v>
      </c>
      <c r="H820" t="s">
        <v>129</v>
      </c>
      <c r="I820" t="s">
        <v>130</v>
      </c>
      <c r="J820" t="s">
        <v>131</v>
      </c>
      <c r="K820" t="s">
        <v>38</v>
      </c>
      <c r="L820" t="s">
        <v>132</v>
      </c>
      <c r="M820">
        <v>30</v>
      </c>
      <c r="N820">
        <v>30</v>
      </c>
      <c r="O820" t="s">
        <v>40</v>
      </c>
      <c r="P820">
        <v>10</v>
      </c>
      <c r="Q820">
        <f>N820/P820</f>
      </c>
      <c r="R820" s="1">
        <v>277</v>
      </c>
      <c r="S820" s="1">
        <v>277</v>
      </c>
      <c r="T820">
        <f>IF(R820=S820,"相符","不相符")</f>
      </c>
      <c r="U820" t="s">
        <v>133</v>
      </c>
      <c r="V820">
        <f>P820*R820</f>
      </c>
      <c r="W820">
        <f>Q820*V820</f>
      </c>
      <c r="X820">
        <v>730</v>
      </c>
      <c r="Y820" t="s">
        <v>1714</v>
      </c>
      <c r="Z820" t="s">
        <v>42</v>
      </c>
      <c r="AA820"/>
      <c r="AB820"/>
      <c r="AC820" t="s">
        <v>49</v>
      </c>
      <c r="AD820"/>
    </row>
    <row r="821">
      <c r="A821" t="s">
        <v>30</v>
      </c>
      <c r="B821" t="s">
        <v>31</v>
      </c>
      <c r="C821" t="s">
        <v>1709</v>
      </c>
      <c r="D821" t="s">
        <v>478</v>
      </c>
      <c r="E821" t="s">
        <v>479</v>
      </c>
      <c r="F821" s="2">
        <v>46267</v>
      </c>
      <c r="G821">
        <v>3</v>
      </c>
      <c r="H821" t="s">
        <v>533</v>
      </c>
      <c r="I821" t="s">
        <v>534</v>
      </c>
      <c r="J821" t="s">
        <v>535</v>
      </c>
      <c r="K821" t="s">
        <v>63</v>
      </c>
      <c r="L821" t="s">
        <v>536</v>
      </c>
      <c r="M821">
        <v>23</v>
      </c>
      <c r="N821">
        <v>12</v>
      </c>
      <c r="O821" t="s">
        <v>40</v>
      </c>
      <c r="P821">
        <v>12</v>
      </c>
      <c r="Q821">
        <f>N821/P821</f>
      </c>
      <c r="R821" s="1">
        <v>317</v>
      </c>
      <c r="S821" s="1">
        <v>317</v>
      </c>
      <c r="T821">
        <f>IF(R821=S821,"相符","不相符")</f>
      </c>
      <c r="U821" t="s">
        <v>535</v>
      </c>
      <c r="V821">
        <f>P821*R821</f>
      </c>
      <c r="W821">
        <f>Q821*V821</f>
      </c>
      <c r="X821">
        <v>450</v>
      </c>
      <c r="Y821" t="s">
        <v>1715</v>
      </c>
      <c r="Z821" t="s">
        <v>42</v>
      </c>
      <c r="AA821"/>
      <c r="AB821"/>
      <c r="AC821" t="s">
        <v>43</v>
      </c>
      <c r="AD821"/>
    </row>
    <row r="822">
      <c r="A822" t="s">
        <v>30</v>
      </c>
      <c r="B822" t="s">
        <v>31</v>
      </c>
      <c r="C822" t="s">
        <v>1709</v>
      </c>
      <c r="D822" t="s">
        <v>478</v>
      </c>
      <c r="E822" t="s">
        <v>479</v>
      </c>
      <c r="F822" s="2">
        <v>46267</v>
      </c>
      <c r="G822">
        <v>4</v>
      </c>
      <c r="H822" t="s">
        <v>967</v>
      </c>
      <c r="I822" t="s">
        <v>968</v>
      </c>
      <c r="J822" t="s">
        <v>969</v>
      </c>
      <c r="K822" t="s">
        <v>377</v>
      </c>
      <c r="L822" t="s">
        <v>970</v>
      </c>
      <c r="M822">
        <v>24</v>
      </c>
      <c r="N822">
        <v>24</v>
      </c>
      <c r="O822" t="s">
        <v>40</v>
      </c>
      <c r="P822">
        <v>24</v>
      </c>
      <c r="Q822">
        <f>N822/P822</f>
      </c>
      <c r="R822" s="1">
        <v>350</v>
      </c>
      <c r="S822" s="1">
        <v>350</v>
      </c>
      <c r="T822">
        <f>IF(R822=S822,"相符","不相符")</f>
      </c>
      <c r="U822" t="s">
        <v>969</v>
      </c>
      <c r="V822">
        <f>P822*R822</f>
      </c>
      <c r="W822">
        <f>Q822*V822</f>
      </c>
      <c r="X822">
        <v>540</v>
      </c>
      <c r="Y822" t="s">
        <v>1716</v>
      </c>
      <c r="Z822" t="s">
        <v>42</v>
      </c>
      <c r="AA822"/>
      <c r="AB822"/>
      <c r="AC822" t="s">
        <v>43</v>
      </c>
      <c r="AD822"/>
    </row>
    <row r="823">
      <c r="A823" t="s">
        <v>30</v>
      </c>
      <c r="B823" t="s">
        <v>31</v>
      </c>
      <c r="C823" t="s">
        <v>1709</v>
      </c>
      <c r="D823" t="s">
        <v>478</v>
      </c>
      <c r="E823" t="s">
        <v>479</v>
      </c>
      <c r="F823" s="2">
        <v>46267</v>
      </c>
      <c r="G823">
        <v>5</v>
      </c>
      <c r="H823" t="s">
        <v>972</v>
      </c>
      <c r="I823" t="s">
        <v>973</v>
      </c>
      <c r="J823" t="s">
        <v>974</v>
      </c>
      <c r="K823" t="s">
        <v>69</v>
      </c>
      <c r="L823" t="s">
        <v>975</v>
      </c>
      <c r="M823">
        <v>6</v>
      </c>
      <c r="N823">
        <v>4</v>
      </c>
      <c r="O823" t="s">
        <v>40</v>
      </c>
      <c r="P823">
        <v>4</v>
      </c>
      <c r="Q823">
        <f>N823/P823</f>
      </c>
      <c r="R823" s="1">
        <v>731</v>
      </c>
      <c r="S823" s="1">
        <v>731</v>
      </c>
      <c r="T823">
        <f>IF(R823=S823,"相符","不相符")</f>
      </c>
      <c r="U823" t="s">
        <v>976</v>
      </c>
      <c r="V823">
        <f>P823*R823</f>
      </c>
      <c r="W823">
        <f>Q823*V823</f>
      </c>
      <c r="X823">
        <v>540</v>
      </c>
      <c r="Y823" t="s">
        <v>1716</v>
      </c>
      <c r="Z823" t="s">
        <v>42</v>
      </c>
      <c r="AA823"/>
      <c r="AB823"/>
      <c r="AC823" t="s">
        <v>43</v>
      </c>
      <c r="AD823"/>
    </row>
    <row r="824">
      <c r="A824" t="s">
        <v>30</v>
      </c>
      <c r="B824" t="s">
        <v>31</v>
      </c>
      <c r="C824" t="s">
        <v>1709</v>
      </c>
      <c r="D824" t="s">
        <v>478</v>
      </c>
      <c r="E824" t="s">
        <v>479</v>
      </c>
      <c r="F824" s="2">
        <v>46267</v>
      </c>
      <c r="G824">
        <v>6</v>
      </c>
      <c r="H824" t="s">
        <v>163</v>
      </c>
      <c r="I824" t="s">
        <v>164</v>
      </c>
      <c r="J824" t="s">
        <v>165</v>
      </c>
      <c r="K824" t="s">
        <v>69</v>
      </c>
      <c r="L824" t="s">
        <v>166</v>
      </c>
      <c r="M824">
        <v>20</v>
      </c>
      <c r="N824">
        <v>20</v>
      </c>
      <c r="O824" t="s">
        <v>40</v>
      </c>
      <c r="P824">
        <v>4</v>
      </c>
      <c r="Q824">
        <f>N824/P824</f>
      </c>
      <c r="R824" s="1">
        <v>731</v>
      </c>
      <c r="S824" s="1">
        <v>731</v>
      </c>
      <c r="T824">
        <f>IF(R824=S824,"相符","不相符")</f>
      </c>
      <c r="U824" t="s">
        <v>167</v>
      </c>
      <c r="V824">
        <f>P824*R824</f>
      </c>
      <c r="W824">
        <f>Q824*V824</f>
      </c>
      <c r="X824">
        <v>540</v>
      </c>
      <c r="Y824" t="s">
        <v>1717</v>
      </c>
      <c r="Z824" t="s">
        <v>42</v>
      </c>
      <c r="AA824"/>
      <c r="AB824"/>
      <c r="AC824" t="s">
        <v>43</v>
      </c>
      <c r="AD824"/>
    </row>
    <row r="825">
      <c r="A825" t="s">
        <v>30</v>
      </c>
      <c r="B825" t="s">
        <v>31</v>
      </c>
      <c r="C825" t="s">
        <v>1709</v>
      </c>
      <c r="D825" t="s">
        <v>478</v>
      </c>
      <c r="E825" t="s">
        <v>479</v>
      </c>
      <c r="F825" s="2">
        <v>46267</v>
      </c>
      <c r="G825">
        <v>7</v>
      </c>
      <c r="H825" t="s">
        <v>1718</v>
      </c>
      <c r="I825" t="s">
        <v>1719</v>
      </c>
      <c r="J825" t="s">
        <v>558</v>
      </c>
      <c r="K825" t="s">
        <v>161</v>
      </c>
      <c r="L825" t="s">
        <v>1720</v>
      </c>
      <c r="M825">
        <v>48</v>
      </c>
      <c r="N825">
        <v>48</v>
      </c>
      <c r="O825" t="s">
        <v>40</v>
      </c>
      <c r="P825">
        <v>12</v>
      </c>
      <c r="Q825">
        <f>N825/P825</f>
      </c>
      <c r="R825" s="1">
        <v>89</v>
      </c>
      <c r="S825" s="1">
        <v>89</v>
      </c>
      <c r="T825">
        <f>IF(R825=S825,"相符","不相符")</f>
      </c>
      <c r="U825" t="s">
        <v>558</v>
      </c>
      <c r="V825">
        <f>P825*R825</f>
      </c>
      <c r="W825">
        <f>Q825*V825</f>
      </c>
      <c r="X825">
        <v>365</v>
      </c>
      <c r="Y825" t="s">
        <v>1721</v>
      </c>
      <c r="Z825" t="s">
        <v>42</v>
      </c>
      <c r="AA825"/>
      <c r="AB825"/>
      <c r="AC825" t="s">
        <v>43</v>
      </c>
      <c r="AD825"/>
    </row>
    <row r="826">
      <c r="A826" t="s">
        <v>30</v>
      </c>
      <c r="B826" t="s">
        <v>254</v>
      </c>
      <c r="C826" t="s">
        <v>1722</v>
      </c>
      <c r="D826" t="s">
        <v>262</v>
      </c>
      <c r="E826" t="s">
        <v>263</v>
      </c>
      <c r="F826" s="2">
        <v>46267</v>
      </c>
      <c r="G826">
        <v>1</v>
      </c>
      <c r="H826" t="s">
        <v>1723</v>
      </c>
      <c r="I826" t="s">
        <v>1724</v>
      </c>
      <c r="J826" t="s">
        <v>1725</v>
      </c>
      <c r="K826" t="s">
        <v>491</v>
      </c>
      <c r="L826" t="s">
        <v>1726</v>
      </c>
      <c r="M826">
        <v>800</v>
      </c>
      <c r="N826">
        <v>800</v>
      </c>
      <c r="O826" t="s">
        <v>197</v>
      </c>
      <c r="P826">
        <v>8</v>
      </c>
      <c r="Q826">
        <f>N826/P826</f>
      </c>
      <c r="R826" s="1">
        <v>82</v>
      </c>
      <c r="S826" s="1">
        <v>82</v>
      </c>
      <c r="T826">
        <f>IF(R826=S826,"相符","不相符")</f>
      </c>
      <c r="U826" t="s">
        <v>1727</v>
      </c>
      <c r="V826">
        <f>P826*R826</f>
      </c>
      <c r="W826">
        <f>Q826*V826</f>
      </c>
      <c r="X826">
        <v>1825</v>
      </c>
      <c r="Y826" t="s">
        <v>1703</v>
      </c>
      <c r="Z826" t="s">
        <v>42</v>
      </c>
      <c r="AA826"/>
      <c r="AB826"/>
      <c r="AC826" t="s">
        <v>243</v>
      </c>
      <c r="AD826"/>
    </row>
    <row r="827">
      <c r="A827" t="s">
        <v>30</v>
      </c>
      <c r="B827" t="s">
        <v>254</v>
      </c>
      <c r="C827" t="s">
        <v>1722</v>
      </c>
      <c r="D827" t="s">
        <v>262</v>
      </c>
      <c r="E827" t="s">
        <v>263</v>
      </c>
      <c r="F827" s="2">
        <v>46267</v>
      </c>
      <c r="G827">
        <v>2</v>
      </c>
      <c r="H827" t="s">
        <v>599</v>
      </c>
      <c r="I827" t="s">
        <v>600</v>
      </c>
      <c r="J827" t="s">
        <v>601</v>
      </c>
      <c r="K827" t="s">
        <v>491</v>
      </c>
      <c r="L827" t="s">
        <v>602</v>
      </c>
      <c r="M827">
        <v>220</v>
      </c>
      <c r="N827">
        <v>220</v>
      </c>
      <c r="O827" t="s">
        <v>84</v>
      </c>
      <c r="P827">
        <v>1</v>
      </c>
      <c r="Q827">
        <f>N827/P827</f>
      </c>
      <c r="R827" s="1">
        <v>712</v>
      </c>
      <c r="S827" s="1">
        <v>712</v>
      </c>
      <c r="T827">
        <f>IF(R827=S827,"相符","不相符")</f>
      </c>
      <c r="U827" t="s">
        <v>578</v>
      </c>
      <c r="V827">
        <f>P827*R827</f>
      </c>
      <c r="W827">
        <f>Q827*V827</f>
      </c>
      <c r="X827">
        <v>1825</v>
      </c>
      <c r="Y827" t="s">
        <v>1703</v>
      </c>
      <c r="Z827" t="s">
        <v>42</v>
      </c>
      <c r="AA827"/>
      <c r="AB827"/>
      <c r="AC827" t="s">
        <v>243</v>
      </c>
      <c r="AD827"/>
    </row>
    <row r="828">
      <c r="A828" t="s">
        <v>30</v>
      </c>
      <c r="B828" t="s">
        <v>31</v>
      </c>
      <c r="C828" t="s">
        <v>1728</v>
      </c>
      <c r="D828" t="s">
        <v>33</v>
      </c>
      <c r="E828" t="s">
        <v>34</v>
      </c>
      <c r="F828" s="2">
        <v>46267</v>
      </c>
      <c r="G828">
        <v>1</v>
      </c>
      <c r="H828" t="s">
        <v>311</v>
      </c>
      <c r="I828" t="s">
        <v>312</v>
      </c>
      <c r="J828" t="s">
        <v>313</v>
      </c>
      <c r="K828" t="s">
        <v>82</v>
      </c>
      <c r="L828" t="s">
        <v>1729</v>
      </c>
      <c r="M828">
        <v>40</v>
      </c>
      <c r="N828">
        <v>9</v>
      </c>
      <c r="O828" t="s">
        <v>84</v>
      </c>
      <c r="P828">
        <v>1</v>
      </c>
      <c r="Q828">
        <f>N828/P828</f>
      </c>
      <c r="R828" s="1">
        <v>635</v>
      </c>
      <c r="S828" s="1">
        <v>635</v>
      </c>
      <c r="T828">
        <f>IF(R828=S828,"相符","不相符")</f>
      </c>
      <c r="U828" t="s">
        <v>315</v>
      </c>
      <c r="V828">
        <f>P828*R828</f>
      </c>
      <c r="W828">
        <f>Q828*V828</f>
      </c>
      <c r="X828">
        <v>730</v>
      </c>
      <c r="Y828" t="s">
        <v>1714</v>
      </c>
      <c r="Z828" t="s">
        <v>1730</v>
      </c>
      <c r="AA828"/>
      <c r="AB828"/>
      <c r="AC828" t="s">
        <v>49</v>
      </c>
      <c r="AD828"/>
    </row>
    <row r="829">
      <c r="A829" t="s">
        <v>30</v>
      </c>
      <c r="B829" t="s">
        <v>31</v>
      </c>
      <c r="C829" t="s">
        <v>1728</v>
      </c>
      <c r="D829" t="s">
        <v>33</v>
      </c>
      <c r="E829" t="s">
        <v>34</v>
      </c>
      <c r="F829" s="2">
        <v>46267</v>
      </c>
      <c r="G829">
        <v>2</v>
      </c>
      <c r="H829" t="s">
        <v>1731</v>
      </c>
      <c r="I829" t="s">
        <v>1732</v>
      </c>
      <c r="J829" t="s">
        <v>1733</v>
      </c>
      <c r="K829" t="s">
        <v>82</v>
      </c>
      <c r="L829" t="s">
        <v>1734</v>
      </c>
      <c r="M829">
        <v>50</v>
      </c>
      <c r="N829">
        <v>50</v>
      </c>
      <c r="O829" t="s">
        <v>84</v>
      </c>
      <c r="P829">
        <v>1</v>
      </c>
      <c r="Q829">
        <f>N829/P829</f>
      </c>
      <c r="R829" s="1">
        <v>635</v>
      </c>
      <c r="S829" s="1">
        <v>635</v>
      </c>
      <c r="T829">
        <f>IF(R829=S829,"相符","不相符")</f>
      </c>
      <c r="U829" t="s">
        <v>1735</v>
      </c>
      <c r="V829">
        <f>P829*R829</f>
      </c>
      <c r="W829">
        <f>Q829*V829</f>
      </c>
      <c r="X829">
        <v>730</v>
      </c>
      <c r="Y829" t="s">
        <v>1736</v>
      </c>
      <c r="Z829" t="s">
        <v>1730</v>
      </c>
      <c r="AA829"/>
      <c r="AB829"/>
      <c r="AC829" t="s">
        <v>49</v>
      </c>
      <c r="AD829"/>
    </row>
    <row r="830">
      <c r="A830" t="s">
        <v>30</v>
      </c>
      <c r="B830" t="s">
        <v>31</v>
      </c>
      <c r="C830" t="s">
        <v>1728</v>
      </c>
      <c r="D830" t="s">
        <v>33</v>
      </c>
      <c r="E830" t="s">
        <v>34</v>
      </c>
      <c r="F830" s="2">
        <v>46267</v>
      </c>
      <c r="G830">
        <v>3</v>
      </c>
      <c r="H830" t="s">
        <v>1737</v>
      </c>
      <c r="I830" t="s">
        <v>1738</v>
      </c>
      <c r="J830" t="s">
        <v>1739</v>
      </c>
      <c r="K830" t="s">
        <v>82</v>
      </c>
      <c r="L830" t="s">
        <v>1740</v>
      </c>
      <c r="M830">
        <v>20</v>
      </c>
      <c r="N830">
        <v>20</v>
      </c>
      <c r="O830" t="s">
        <v>84</v>
      </c>
      <c r="P830">
        <v>1</v>
      </c>
      <c r="Q830">
        <f>N830/P830</f>
      </c>
      <c r="R830" s="1">
        <v>635</v>
      </c>
      <c r="S830" s="1">
        <v>635</v>
      </c>
      <c r="T830">
        <f>IF(R830=S830,"相符","不相符")</f>
      </c>
      <c r="U830" t="s">
        <v>1741</v>
      </c>
      <c r="V830">
        <f>P830*R830</f>
      </c>
      <c r="W830">
        <f>Q830*V830</f>
      </c>
      <c r="X830">
        <v>730</v>
      </c>
      <c r="Y830" t="s">
        <v>1736</v>
      </c>
      <c r="Z830" t="s">
        <v>1730</v>
      </c>
      <c r="AA830"/>
      <c r="AB830"/>
      <c r="AC830" t="s">
        <v>49</v>
      </c>
      <c r="AD830"/>
    </row>
    <row r="831">
      <c r="A831" t="s">
        <v>30</v>
      </c>
      <c r="B831" t="s">
        <v>31</v>
      </c>
      <c r="C831" t="s">
        <v>1728</v>
      </c>
      <c r="D831" t="s">
        <v>33</v>
      </c>
      <c r="E831" t="s">
        <v>34</v>
      </c>
      <c r="F831" s="2">
        <v>46267</v>
      </c>
      <c r="G831">
        <v>4</v>
      </c>
      <c r="H831" t="s">
        <v>79</v>
      </c>
      <c r="I831" t="s">
        <v>80</v>
      </c>
      <c r="J831" t="s">
        <v>81</v>
      </c>
      <c r="K831" t="s">
        <v>82</v>
      </c>
      <c r="L831" t="s">
        <v>83</v>
      </c>
      <c r="M831">
        <v>100</v>
      </c>
      <c r="N831">
        <v>100</v>
      </c>
      <c r="O831" t="s">
        <v>84</v>
      </c>
      <c r="P831">
        <v>1</v>
      </c>
      <c r="Q831">
        <f>N831/P831</f>
      </c>
      <c r="R831" s="1">
        <v>438</v>
      </c>
      <c r="S831" s="1">
        <v>438</v>
      </c>
      <c r="T831">
        <f>IF(R831=S831,"相符","不相符")</f>
      </c>
      <c r="U831" t="s">
        <v>85</v>
      </c>
      <c r="V831">
        <f>P831*R831</f>
      </c>
      <c r="W831">
        <f>Q831*V831</f>
      </c>
      <c r="X831">
        <v>730</v>
      </c>
      <c r="Y831" t="s">
        <v>1742</v>
      </c>
      <c r="Z831" t="s">
        <v>1730</v>
      </c>
      <c r="AA831"/>
      <c r="AB831"/>
      <c r="AC831" t="s">
        <v>43</v>
      </c>
      <c r="AD831"/>
    </row>
    <row r="832">
      <c r="A832" t="s">
        <v>30</v>
      </c>
      <c r="B832" t="s">
        <v>31</v>
      </c>
      <c r="C832" t="s">
        <v>1728</v>
      </c>
      <c r="D832" t="s">
        <v>33</v>
      </c>
      <c r="E832" t="s">
        <v>34</v>
      </c>
      <c r="F832" s="2">
        <v>46267</v>
      </c>
      <c r="G832">
        <v>5</v>
      </c>
      <c r="H832" t="s">
        <v>112</v>
      </c>
      <c r="I832" t="s">
        <v>113</v>
      </c>
      <c r="J832" t="s">
        <v>114</v>
      </c>
      <c r="K832" t="s">
        <v>82</v>
      </c>
      <c r="L832" t="s">
        <v>115</v>
      </c>
      <c r="M832">
        <v>20</v>
      </c>
      <c r="N832">
        <v>6</v>
      </c>
      <c r="O832" t="s">
        <v>84</v>
      </c>
      <c r="P832">
        <v>1</v>
      </c>
      <c r="Q832">
        <f>N832/P832</f>
      </c>
      <c r="R832" s="1">
        <v>635</v>
      </c>
      <c r="S832" s="1">
        <v>635</v>
      </c>
      <c r="T832">
        <f>IF(R832=S832,"相符","不相符")</f>
      </c>
      <c r="U832" t="s">
        <v>114</v>
      </c>
      <c r="V832">
        <f>P832*R832</f>
      </c>
      <c r="W832">
        <f>Q832*V832</f>
      </c>
      <c r="X832">
        <v>730</v>
      </c>
      <c r="Y832" t="s">
        <v>1743</v>
      </c>
      <c r="Z832" t="s">
        <v>1730</v>
      </c>
      <c r="AA832"/>
      <c r="AB832"/>
      <c r="AC832" t="s">
        <v>43</v>
      </c>
      <c r="AD832"/>
    </row>
    <row r="833">
      <c r="A833" t="s">
        <v>30</v>
      </c>
      <c r="B833" t="s">
        <v>31</v>
      </c>
      <c r="C833" t="s">
        <v>1728</v>
      </c>
      <c r="D833" t="s">
        <v>33</v>
      </c>
      <c r="E833" t="s">
        <v>34</v>
      </c>
      <c r="F833" s="2">
        <v>46267</v>
      </c>
      <c r="G833">
        <v>6</v>
      </c>
      <c r="H833" t="s">
        <v>1744</v>
      </c>
      <c r="I833" t="s">
        <v>1745</v>
      </c>
      <c r="J833" t="s">
        <v>1746</v>
      </c>
      <c r="K833" t="s">
        <v>82</v>
      </c>
      <c r="L833" t="s">
        <v>1747</v>
      </c>
      <c r="M833">
        <v>60</v>
      </c>
      <c r="N833">
        <v>60</v>
      </c>
      <c r="O833" t="s">
        <v>84</v>
      </c>
      <c r="P833">
        <v>1</v>
      </c>
      <c r="Q833">
        <f>N833/P833</f>
      </c>
      <c r="R833" s="1">
        <v>635</v>
      </c>
      <c r="S833" s="1">
        <v>635</v>
      </c>
      <c r="T833">
        <f>IF(R833=S833,"相符","不相符")</f>
      </c>
      <c r="U833" t="s">
        <v>1746</v>
      </c>
      <c r="V833">
        <f>P833*R833</f>
      </c>
      <c r="W833">
        <f>Q833*V833</f>
      </c>
      <c r="X833">
        <v>730</v>
      </c>
      <c r="Y833" t="s">
        <v>1743</v>
      </c>
      <c r="Z833" t="s">
        <v>1730</v>
      </c>
      <c r="AA833"/>
      <c r="AB833"/>
      <c r="AC833" t="s">
        <v>43</v>
      </c>
      <c r="AD833"/>
    </row>
    <row r="834">
      <c r="A834" t="s">
        <v>30</v>
      </c>
      <c r="B834" t="s">
        <v>31</v>
      </c>
      <c r="C834" t="s">
        <v>1748</v>
      </c>
      <c r="D834" t="s">
        <v>478</v>
      </c>
      <c r="E834" t="s">
        <v>479</v>
      </c>
      <c r="F834" s="2">
        <v>46267</v>
      </c>
      <c r="G834">
        <v>1</v>
      </c>
      <c r="H834" t="s">
        <v>1749</v>
      </c>
      <c r="I834" t="s">
        <v>1750</v>
      </c>
      <c r="J834" t="s">
        <v>1007</v>
      </c>
      <c r="K834" t="s">
        <v>1008</v>
      </c>
      <c r="L834" t="s">
        <v>1751</v>
      </c>
      <c r="M834">
        <v>152</v>
      </c>
      <c r="N834">
        <v>144</v>
      </c>
      <c r="O834" t="s">
        <v>40</v>
      </c>
      <c r="P834">
        <v>24</v>
      </c>
      <c r="Q834">
        <f>N834/P834</f>
      </c>
      <c r="R834" s="1">
        <v>69</v>
      </c>
      <c r="S834" s="1">
        <v>69</v>
      </c>
      <c r="T834">
        <f>IF(R834=S834,"相符","不相符")</f>
      </c>
      <c r="U834" t="s">
        <v>1007</v>
      </c>
      <c r="V834">
        <f>P834*R834</f>
      </c>
      <c r="W834">
        <f>Q834*V834</f>
      </c>
      <c r="X834">
        <v>365</v>
      </c>
      <c r="Y834" t="s">
        <v>1736</v>
      </c>
      <c r="Z834" t="s">
        <v>1138</v>
      </c>
      <c r="AA834"/>
      <c r="AB834"/>
      <c r="AC834" t="s">
        <v>43</v>
      </c>
      <c r="AD834"/>
    </row>
    <row r="835">
      <c r="A835" t="s">
        <v>30</v>
      </c>
      <c r="B835" t="s">
        <v>31</v>
      </c>
      <c r="C835" t="s">
        <v>1748</v>
      </c>
      <c r="D835" t="s">
        <v>478</v>
      </c>
      <c r="E835" t="s">
        <v>479</v>
      </c>
      <c r="F835" s="2">
        <v>46267</v>
      </c>
      <c r="G835">
        <v>2</v>
      </c>
      <c r="H835" t="s">
        <v>925</v>
      </c>
      <c r="I835" t="s">
        <v>926</v>
      </c>
      <c r="J835" t="s">
        <v>927</v>
      </c>
      <c r="K835" t="s">
        <v>63</v>
      </c>
      <c r="L835" t="s">
        <v>928</v>
      </c>
      <c r="M835">
        <v>45</v>
      </c>
      <c r="N835">
        <v>36</v>
      </c>
      <c r="O835" t="s">
        <v>40</v>
      </c>
      <c r="P835">
        <v>12</v>
      </c>
      <c r="Q835">
        <f>N835/P835</f>
      </c>
      <c r="R835" s="1">
        <v>317</v>
      </c>
      <c r="S835" s="1">
        <v>317</v>
      </c>
      <c r="T835">
        <f>IF(R835=S835,"相符","不相符")</f>
      </c>
      <c r="U835" t="s">
        <v>927</v>
      </c>
      <c r="V835">
        <f>P835*R835</f>
      </c>
      <c r="W835">
        <f>Q835*V835</f>
      </c>
      <c r="X835">
        <v>450</v>
      </c>
      <c r="Y835" t="s">
        <v>1716</v>
      </c>
      <c r="Z835" t="s">
        <v>1138</v>
      </c>
      <c r="AA835"/>
      <c r="AB835"/>
      <c r="AC835" t="s">
        <v>43</v>
      </c>
      <c r="AD835"/>
    </row>
    <row r="836">
      <c r="A836" t="s">
        <v>30</v>
      </c>
      <c r="B836" t="s">
        <v>31</v>
      </c>
      <c r="C836" t="s">
        <v>1748</v>
      </c>
      <c r="D836" t="s">
        <v>478</v>
      </c>
      <c r="E836" t="s">
        <v>479</v>
      </c>
      <c r="F836" s="2">
        <v>46267</v>
      </c>
      <c r="G836">
        <v>3</v>
      </c>
      <c r="H836" t="s">
        <v>60</v>
      </c>
      <c r="I836" t="s">
        <v>61</v>
      </c>
      <c r="J836" t="s">
        <v>62</v>
      </c>
      <c r="K836" t="s">
        <v>63</v>
      </c>
      <c r="L836" t="s">
        <v>64</v>
      </c>
      <c r="M836">
        <v>127</v>
      </c>
      <c r="N836">
        <v>120</v>
      </c>
      <c r="O836" t="s">
        <v>40</v>
      </c>
      <c r="P836">
        <v>12</v>
      </c>
      <c r="Q836">
        <f>N836/P836</f>
      </c>
      <c r="R836" s="1">
        <v>317</v>
      </c>
      <c r="S836" s="1">
        <v>317</v>
      </c>
      <c r="T836">
        <f>IF(R836=S836,"相符","不相符")</f>
      </c>
      <c r="U836" t="s">
        <v>62</v>
      </c>
      <c r="V836">
        <f>P836*R836</f>
      </c>
      <c r="W836">
        <f>Q836*V836</f>
      </c>
      <c r="X836">
        <v>450</v>
      </c>
      <c r="Y836" t="s">
        <v>1716</v>
      </c>
      <c r="Z836" t="s">
        <v>1138</v>
      </c>
      <c r="AA836"/>
      <c r="AB836"/>
      <c r="AC836" t="s">
        <v>43</v>
      </c>
      <c r="AD836"/>
    </row>
    <row r="837">
      <c r="A837" t="s">
        <v>30</v>
      </c>
      <c r="B837" t="s">
        <v>31</v>
      </c>
      <c r="C837" t="s">
        <v>1748</v>
      </c>
      <c r="D837" t="s">
        <v>478</v>
      </c>
      <c r="E837" t="s">
        <v>479</v>
      </c>
      <c r="F837" s="2">
        <v>46267</v>
      </c>
      <c r="G837">
        <v>4</v>
      </c>
      <c r="H837" t="s">
        <v>1752</v>
      </c>
      <c r="I837" t="s">
        <v>1753</v>
      </c>
      <c r="J837" t="s">
        <v>1754</v>
      </c>
      <c r="K837" t="s">
        <v>75</v>
      </c>
      <c r="L837" t="s">
        <v>1755</v>
      </c>
      <c r="M837">
        <v>105</v>
      </c>
      <c r="N837">
        <v>90</v>
      </c>
      <c r="O837" t="s">
        <v>40</v>
      </c>
      <c r="P837">
        <v>18</v>
      </c>
      <c r="Q837">
        <f>N837/P837</f>
      </c>
      <c r="R837" s="1">
        <v>261</v>
      </c>
      <c r="S837" s="1">
        <v>261</v>
      </c>
      <c r="T837">
        <f>IF(R837=S837,"相符","不相符")</f>
      </c>
      <c r="U837" t="s">
        <v>1756</v>
      </c>
      <c r="V837">
        <f>P837*R837</f>
      </c>
      <c r="W837">
        <f>Q837*V837</f>
      </c>
      <c r="X837">
        <v>365</v>
      </c>
      <c r="Y837" t="s">
        <v>1721</v>
      </c>
      <c r="Z837" t="s">
        <v>1138</v>
      </c>
      <c r="AA837"/>
      <c r="AB837"/>
      <c r="AC837" t="s">
        <v>43</v>
      </c>
      <c r="AD837"/>
    </row>
    <row r="838">
      <c r="A838" t="s">
        <v>30</v>
      </c>
      <c r="B838" t="s">
        <v>31</v>
      </c>
      <c r="C838" t="s">
        <v>1748</v>
      </c>
      <c r="D838" t="s">
        <v>478</v>
      </c>
      <c r="E838" t="s">
        <v>479</v>
      </c>
      <c r="F838" s="2">
        <v>46267</v>
      </c>
      <c r="G838">
        <v>5</v>
      </c>
      <c r="H838" t="s">
        <v>1757</v>
      </c>
      <c r="I838" t="s">
        <v>1758</v>
      </c>
      <c r="J838" t="s">
        <v>1759</v>
      </c>
      <c r="K838" t="s">
        <v>75</v>
      </c>
      <c r="L838" t="s">
        <v>1760</v>
      </c>
      <c r="M838">
        <v>37</v>
      </c>
      <c r="N838">
        <v>36</v>
      </c>
      <c r="O838" t="s">
        <v>40</v>
      </c>
      <c r="P838">
        <v>6</v>
      </c>
      <c r="Q838">
        <f>N838/P838</f>
      </c>
      <c r="R838" s="1">
        <v>511</v>
      </c>
      <c r="S838" s="1">
        <v>511</v>
      </c>
      <c r="T838">
        <f>IF(R838=S838,"相符","不相符")</f>
      </c>
      <c r="U838" t="s">
        <v>1761</v>
      </c>
      <c r="V838">
        <f>P838*R838</f>
      </c>
      <c r="W838">
        <f>Q838*V838</f>
      </c>
      <c r="X838">
        <v>365</v>
      </c>
      <c r="Y838" t="s">
        <v>1721</v>
      </c>
      <c r="Z838" t="s">
        <v>1138</v>
      </c>
      <c r="AA838"/>
      <c r="AB838"/>
      <c r="AC838" t="s">
        <v>43</v>
      </c>
      <c r="AD838"/>
    </row>
    <row r="839">
      <c r="A839" t="s">
        <v>30</v>
      </c>
      <c r="B839" t="s">
        <v>31</v>
      </c>
      <c r="C839" t="s">
        <v>1748</v>
      </c>
      <c r="D839" t="s">
        <v>478</v>
      </c>
      <c r="E839" t="s">
        <v>479</v>
      </c>
      <c r="F839" s="2">
        <v>46267</v>
      </c>
      <c r="G839">
        <v>6</v>
      </c>
      <c r="H839" t="s">
        <v>148</v>
      </c>
      <c r="I839" t="s">
        <v>149</v>
      </c>
      <c r="J839" t="s">
        <v>150</v>
      </c>
      <c r="K839" t="s">
        <v>75</v>
      </c>
      <c r="L839" t="s">
        <v>151</v>
      </c>
      <c r="M839">
        <v>82</v>
      </c>
      <c r="N839">
        <v>78</v>
      </c>
      <c r="O839" t="s">
        <v>40</v>
      </c>
      <c r="P839">
        <v>6</v>
      </c>
      <c r="Q839">
        <f>N839/P839</f>
      </c>
      <c r="R839" s="1">
        <v>511</v>
      </c>
      <c r="S839" s="1">
        <v>511</v>
      </c>
      <c r="T839">
        <f>IF(R839=S839,"相符","不相符")</f>
      </c>
      <c r="U839" t="s">
        <v>152</v>
      </c>
      <c r="V839">
        <f>P839*R839</f>
      </c>
      <c r="W839">
        <f>Q839*V839</f>
      </c>
      <c r="X839">
        <v>365</v>
      </c>
      <c r="Y839" t="s">
        <v>1721</v>
      </c>
      <c r="Z839" t="s">
        <v>1138</v>
      </c>
      <c r="AA839"/>
      <c r="AB839"/>
      <c r="AC839" t="s">
        <v>43</v>
      </c>
      <c r="AD839"/>
    </row>
    <row r="840">
      <c r="A840" t="s">
        <v>30</v>
      </c>
      <c r="B840" t="s">
        <v>31</v>
      </c>
      <c r="C840" t="s">
        <v>1748</v>
      </c>
      <c r="D840" t="s">
        <v>478</v>
      </c>
      <c r="E840" t="s">
        <v>479</v>
      </c>
      <c r="F840" s="2">
        <v>46267</v>
      </c>
      <c r="G840">
        <v>7</v>
      </c>
      <c r="H840" t="s">
        <v>1762</v>
      </c>
      <c r="I840" t="s">
        <v>1763</v>
      </c>
      <c r="J840" t="s">
        <v>474</v>
      </c>
      <c r="K840" t="s">
        <v>121</v>
      </c>
      <c r="L840" t="s">
        <v>1764</v>
      </c>
      <c r="M840">
        <v>44</v>
      </c>
      <c r="N840">
        <v>42</v>
      </c>
      <c r="O840" t="s">
        <v>40</v>
      </c>
      <c r="P840">
        <v>6</v>
      </c>
      <c r="Q840">
        <f>N840/P840</f>
      </c>
      <c r="R840" s="1">
        <v>511</v>
      </c>
      <c r="S840" s="1">
        <v>511</v>
      </c>
      <c r="T840">
        <f>IF(R840=S840,"相符","不相符")</f>
      </c>
      <c r="U840" t="s">
        <v>476</v>
      </c>
      <c r="V840">
        <f>P840*R840</f>
      </c>
      <c r="W840">
        <f>Q840*V840</f>
      </c>
      <c r="X840">
        <v>365</v>
      </c>
      <c r="Y840" t="s">
        <v>1721</v>
      </c>
      <c r="Z840" t="s">
        <v>1138</v>
      </c>
      <c r="AA840"/>
      <c r="AB840"/>
      <c r="AC840" t="s">
        <v>43</v>
      </c>
      <c r="AD840"/>
    </row>
    <row r="841">
      <c r="A841" t="s">
        <v>30</v>
      </c>
      <c r="B841" t="s">
        <v>31</v>
      </c>
      <c r="C841" t="s">
        <v>1748</v>
      </c>
      <c r="D841" t="s">
        <v>478</v>
      </c>
      <c r="E841" t="s">
        <v>479</v>
      </c>
      <c r="F841" s="2">
        <v>46267</v>
      </c>
      <c r="G841">
        <v>8</v>
      </c>
      <c r="H841" t="s">
        <v>1765</v>
      </c>
      <c r="I841" t="s">
        <v>1766</v>
      </c>
      <c r="J841" t="s">
        <v>1767</v>
      </c>
      <c r="K841" t="s">
        <v>75</v>
      </c>
      <c r="L841" t="s">
        <v>1768</v>
      </c>
      <c r="M841">
        <v>26</v>
      </c>
      <c r="N841">
        <v>24</v>
      </c>
      <c r="O841" t="s">
        <v>40</v>
      </c>
      <c r="P841">
        <v>6</v>
      </c>
      <c r="Q841">
        <f>N841/P841</f>
      </c>
      <c r="R841" s="1">
        <v>511</v>
      </c>
      <c r="S841" s="1">
        <v>511</v>
      </c>
      <c r="T841">
        <f>IF(R841=S841,"相符","不相符")</f>
      </c>
      <c r="U841" t="s">
        <v>1769</v>
      </c>
      <c r="V841">
        <f>P841*R841</f>
      </c>
      <c r="W841">
        <f>Q841*V841</f>
      </c>
      <c r="X841">
        <v>365</v>
      </c>
      <c r="Y841" t="s">
        <v>1721</v>
      </c>
      <c r="Z841" t="s">
        <v>1138</v>
      </c>
      <c r="AA841"/>
      <c r="AB841"/>
      <c r="AC841" t="s">
        <v>43</v>
      </c>
      <c r="AD841"/>
    </row>
    <row r="842">
      <c r="A842" t="s">
        <v>30</v>
      </c>
      <c r="B842" t="s">
        <v>31</v>
      </c>
      <c r="C842" t="s">
        <v>1748</v>
      </c>
      <c r="D842" t="s">
        <v>478</v>
      </c>
      <c r="E842" t="s">
        <v>479</v>
      </c>
      <c r="F842" s="2">
        <v>46267</v>
      </c>
      <c r="G842">
        <v>9</v>
      </c>
      <c r="H842" t="s">
        <v>523</v>
      </c>
      <c r="I842" t="s">
        <v>524</v>
      </c>
      <c r="J842" t="s">
        <v>525</v>
      </c>
      <c r="K842" t="s">
        <v>161</v>
      </c>
      <c r="L842" t="s">
        <v>526</v>
      </c>
      <c r="M842">
        <v>40</v>
      </c>
      <c r="N842">
        <v>36</v>
      </c>
      <c r="O842" t="s">
        <v>40</v>
      </c>
      <c r="P842">
        <v>6</v>
      </c>
      <c r="Q842">
        <f>N842/P842</f>
      </c>
      <c r="R842" s="1">
        <v>511</v>
      </c>
      <c r="S842" s="1">
        <v>511</v>
      </c>
      <c r="T842">
        <f>IF(R842=S842,"相符","不相符")</f>
      </c>
      <c r="U842" t="s">
        <v>527</v>
      </c>
      <c r="V842">
        <f>P842*R842</f>
      </c>
      <c r="W842">
        <f>Q842*V842</f>
      </c>
      <c r="X842">
        <v>365</v>
      </c>
      <c r="Y842" t="s">
        <v>1721</v>
      </c>
      <c r="Z842" t="s">
        <v>1138</v>
      </c>
      <c r="AA842"/>
      <c r="AB842"/>
      <c r="AC842" t="s">
        <v>43</v>
      </c>
      <c r="AD842"/>
    </row>
    <row r="843">
      <c r="A843" t="s">
        <v>30</v>
      </c>
      <c r="B843" t="s">
        <v>31</v>
      </c>
      <c r="C843" t="s">
        <v>1748</v>
      </c>
      <c r="D843" t="s">
        <v>478</v>
      </c>
      <c r="E843" t="s">
        <v>479</v>
      </c>
      <c r="F843" s="2">
        <v>46267</v>
      </c>
      <c r="G843">
        <v>10</v>
      </c>
      <c r="H843" t="s">
        <v>158</v>
      </c>
      <c r="I843" t="s">
        <v>159</v>
      </c>
      <c r="J843" t="s">
        <v>160</v>
      </c>
      <c r="K843" t="s">
        <v>161</v>
      </c>
      <c r="L843" t="s">
        <v>162</v>
      </c>
      <c r="M843">
        <v>59</v>
      </c>
      <c r="N843">
        <v>45</v>
      </c>
      <c r="O843" t="s">
        <v>40</v>
      </c>
      <c r="P843">
        <v>15</v>
      </c>
      <c r="Q843">
        <f>N843/P843</f>
      </c>
      <c r="R843" s="1">
        <v>236</v>
      </c>
      <c r="S843" s="1">
        <v>236</v>
      </c>
      <c r="T843">
        <f>IF(R843=S843,"相符","不相符")</f>
      </c>
      <c r="U843" t="s">
        <v>160</v>
      </c>
      <c r="V843">
        <f>P843*R843</f>
      </c>
      <c r="W843">
        <f>Q843*V843</f>
      </c>
      <c r="X843">
        <v>365</v>
      </c>
      <c r="Y843" t="s">
        <v>1721</v>
      </c>
      <c r="Z843" t="s">
        <v>1138</v>
      </c>
      <c r="AA843"/>
      <c r="AB843"/>
      <c r="AC843" t="s">
        <v>43</v>
      </c>
      <c r="AD843"/>
    </row>
    <row r="844">
      <c r="A844" t="s">
        <v>30</v>
      </c>
      <c r="B844" t="s">
        <v>31</v>
      </c>
      <c r="C844" t="s">
        <v>1748</v>
      </c>
      <c r="D844" t="s">
        <v>478</v>
      </c>
      <c r="E844" t="s">
        <v>479</v>
      </c>
      <c r="F844" s="2">
        <v>46267</v>
      </c>
      <c r="G844">
        <v>11</v>
      </c>
      <c r="H844" t="s">
        <v>533</v>
      </c>
      <c r="I844" t="s">
        <v>534</v>
      </c>
      <c r="J844" t="s">
        <v>535</v>
      </c>
      <c r="K844" t="s">
        <v>63</v>
      </c>
      <c r="L844" t="s">
        <v>536</v>
      </c>
      <c r="M844">
        <v>91</v>
      </c>
      <c r="N844">
        <v>84</v>
      </c>
      <c r="O844" t="s">
        <v>40</v>
      </c>
      <c r="P844">
        <v>12</v>
      </c>
      <c r="Q844">
        <f>N844/P844</f>
      </c>
      <c r="R844" s="1">
        <v>317</v>
      </c>
      <c r="S844" s="1">
        <v>317</v>
      </c>
      <c r="T844">
        <f>IF(R844=S844,"相符","不相符")</f>
      </c>
      <c r="U844" t="s">
        <v>535</v>
      </c>
      <c r="V844">
        <f>P844*R844</f>
      </c>
      <c r="W844">
        <f>Q844*V844</f>
      </c>
      <c r="X844">
        <v>450</v>
      </c>
      <c r="Y844" t="s">
        <v>1715</v>
      </c>
      <c r="Z844" t="s">
        <v>1138</v>
      </c>
      <c r="AA844"/>
      <c r="AB844"/>
      <c r="AC844" t="s">
        <v>43</v>
      </c>
      <c r="AD844"/>
    </row>
    <row r="845">
      <c r="A845" t="s">
        <v>30</v>
      </c>
      <c r="B845" t="s">
        <v>31</v>
      </c>
      <c r="C845" t="s">
        <v>1748</v>
      </c>
      <c r="D845" t="s">
        <v>478</v>
      </c>
      <c r="E845" t="s">
        <v>479</v>
      </c>
      <c r="F845" s="2">
        <v>46267</v>
      </c>
      <c r="G845">
        <v>12</v>
      </c>
      <c r="H845" t="s">
        <v>1770</v>
      </c>
      <c r="I845" t="s">
        <v>1771</v>
      </c>
      <c r="J845" t="s">
        <v>1477</v>
      </c>
      <c r="K845" t="s">
        <v>63</v>
      </c>
      <c r="L845" t="s">
        <v>1772</v>
      </c>
      <c r="M845">
        <v>14</v>
      </c>
      <c r="N845">
        <v>12</v>
      </c>
      <c r="O845" t="s">
        <v>40</v>
      </c>
      <c r="P845">
        <v>12</v>
      </c>
      <c r="Q845">
        <f>N845/P845</f>
      </c>
      <c r="R845" s="1">
        <v>369</v>
      </c>
      <c r="S845" s="1">
        <v>369</v>
      </c>
      <c r="T845">
        <f>IF(R845=S845,"相符","不相符")</f>
      </c>
      <c r="U845" t="s">
        <v>1477</v>
      </c>
      <c r="V845">
        <f>P845*R845</f>
      </c>
      <c r="W845">
        <f>Q845*V845</f>
      </c>
      <c r="X845">
        <v>450</v>
      </c>
      <c r="Y845" t="s">
        <v>1721</v>
      </c>
      <c r="Z845" t="s">
        <v>1138</v>
      </c>
      <c r="AA845"/>
      <c r="AB845"/>
      <c r="AC845" t="s">
        <v>43</v>
      </c>
      <c r="AD845"/>
    </row>
    <row r="846">
      <c r="A846" t="s">
        <v>30</v>
      </c>
      <c r="B846" t="s">
        <v>31</v>
      </c>
      <c r="C846" t="s">
        <v>1748</v>
      </c>
      <c r="D846" t="s">
        <v>478</v>
      </c>
      <c r="E846" t="s">
        <v>479</v>
      </c>
      <c r="F846" s="2">
        <v>46267</v>
      </c>
      <c r="G846">
        <v>13</v>
      </c>
      <c r="H846" t="s">
        <v>1773</v>
      </c>
      <c r="I846" t="s">
        <v>1774</v>
      </c>
      <c r="J846" t="s">
        <v>1775</v>
      </c>
      <c r="K846" t="s">
        <v>75</v>
      </c>
      <c r="L846" t="s">
        <v>1776</v>
      </c>
      <c r="M846">
        <v>296</v>
      </c>
      <c r="N846">
        <v>288</v>
      </c>
      <c r="O846" t="s">
        <v>40</v>
      </c>
      <c r="P846">
        <v>12</v>
      </c>
      <c r="Q846">
        <f>N846/P846</f>
      </c>
      <c r="R846" s="1">
        <v>244</v>
      </c>
      <c r="S846" s="1">
        <v>244</v>
      </c>
      <c r="T846">
        <f>IF(R846=S846,"相符","不相符")</f>
      </c>
      <c r="U846" t="s">
        <v>1775</v>
      </c>
      <c r="V846">
        <f>P846*R846</f>
      </c>
      <c r="W846">
        <f>Q846*V846</f>
      </c>
      <c r="X846">
        <v>456</v>
      </c>
      <c r="Y846" t="s">
        <v>1716</v>
      </c>
      <c r="Z846" t="s">
        <v>1138</v>
      </c>
      <c r="AA846"/>
      <c r="AB846"/>
      <c r="AC846" t="s">
        <v>43</v>
      </c>
      <c r="AD846"/>
    </row>
    <row r="847">
      <c r="A847" t="s">
        <v>30</v>
      </c>
      <c r="B847" t="s">
        <v>31</v>
      </c>
      <c r="C847" t="s">
        <v>1748</v>
      </c>
      <c r="D847" t="s">
        <v>478</v>
      </c>
      <c r="E847" t="s">
        <v>479</v>
      </c>
      <c r="F847" s="2">
        <v>46267</v>
      </c>
      <c r="G847">
        <v>14</v>
      </c>
      <c r="H847" t="s">
        <v>178</v>
      </c>
      <c r="I847" t="s">
        <v>179</v>
      </c>
      <c r="J847" t="s">
        <v>180</v>
      </c>
      <c r="K847" t="s">
        <v>75</v>
      </c>
      <c r="L847" t="s">
        <v>181</v>
      </c>
      <c r="M847">
        <v>22</v>
      </c>
      <c r="N847">
        <v>18</v>
      </c>
      <c r="O847" t="s">
        <v>40</v>
      </c>
      <c r="P847">
        <v>6</v>
      </c>
      <c r="Q847">
        <f>N847/P847</f>
      </c>
      <c r="R847" s="1">
        <v>511</v>
      </c>
      <c r="S847" s="1">
        <v>511</v>
      </c>
      <c r="T847">
        <f>IF(R847=S847,"相符","不相符")</f>
      </c>
      <c r="U847" t="s">
        <v>182</v>
      </c>
      <c r="V847">
        <f>P847*R847</f>
      </c>
      <c r="W847">
        <f>Q847*V847</f>
      </c>
      <c r="X847">
        <v>365</v>
      </c>
      <c r="Y847" t="s">
        <v>1777</v>
      </c>
      <c r="Z847" t="s">
        <v>1138</v>
      </c>
      <c r="AA847"/>
      <c r="AB847"/>
      <c r="AC847" t="s">
        <v>43</v>
      </c>
      <c r="AD847"/>
    </row>
    <row r="848">
      <c r="A848" t="s">
        <v>30</v>
      </c>
      <c r="B848" t="s">
        <v>254</v>
      </c>
      <c r="C848" t="s">
        <v>1778</v>
      </c>
      <c r="D848" t="s">
        <v>33</v>
      </c>
      <c r="E848" t="s">
        <v>34</v>
      </c>
      <c r="F848" s="2">
        <v>46267</v>
      </c>
      <c r="G848">
        <v>1</v>
      </c>
      <c r="H848" t="s">
        <v>1779</v>
      </c>
      <c r="I848" t="s">
        <v>1780</v>
      </c>
      <c r="J848" t="s">
        <v>1781</v>
      </c>
      <c r="K848" t="s">
        <v>491</v>
      </c>
      <c r="L848" t="s">
        <v>1782</v>
      </c>
      <c r="M848">
        <v>6</v>
      </c>
      <c r="N848">
        <v>6</v>
      </c>
      <c r="O848" t="s">
        <v>84</v>
      </c>
      <c r="P848">
        <v>1</v>
      </c>
      <c r="Q848">
        <f>N848/P848</f>
      </c>
      <c r="R848" s="1">
        <v>1152</v>
      </c>
      <c r="S848" s="1">
        <v>1152</v>
      </c>
      <c r="T848">
        <f>IF(R848=S848,"相符","不相符")</f>
      </c>
      <c r="U848"/>
      <c r="V848">
        <f>P848*R848</f>
      </c>
      <c r="W848">
        <f>Q848*V848</f>
      </c>
      <c r="X848">
        <v>1095</v>
      </c>
      <c r="Y848" t="s">
        <v>1704</v>
      </c>
      <c r="Z848" t="s">
        <v>213</v>
      </c>
      <c r="AA848"/>
      <c r="AB848"/>
      <c r="AC848" t="s">
        <v>243</v>
      </c>
      <c r="AD848"/>
    </row>
    <row r="849">
      <c r="A849" t="s">
        <v>30</v>
      </c>
      <c r="B849" t="s">
        <v>254</v>
      </c>
      <c r="C849" t="s">
        <v>1783</v>
      </c>
      <c r="D849" t="s">
        <v>262</v>
      </c>
      <c r="E849" t="s">
        <v>263</v>
      </c>
      <c r="F849" s="2">
        <v>46266</v>
      </c>
      <c r="G849">
        <v>1</v>
      </c>
      <c r="H849" t="s">
        <v>1248</v>
      </c>
      <c r="I849" t="s">
        <v>1249</v>
      </c>
      <c r="J849" t="s">
        <v>1250</v>
      </c>
      <c r="K849" t="s">
        <v>491</v>
      </c>
      <c r="L849" t="s">
        <v>1251</v>
      </c>
      <c r="M849">
        <v>120</v>
      </c>
      <c r="N849">
        <v>120</v>
      </c>
      <c r="O849" t="s">
        <v>197</v>
      </c>
      <c r="P849">
        <v>8</v>
      </c>
      <c r="Q849">
        <f>N849/P849</f>
      </c>
      <c r="R849" s="1">
        <v>82</v>
      </c>
      <c r="S849" s="1">
        <v>82</v>
      </c>
      <c r="T849">
        <f>IF(R849=S849,"相符","不相符")</f>
      </c>
      <c r="U849" t="s">
        <v>1252</v>
      </c>
      <c r="V849">
        <f>P849*R849</f>
      </c>
      <c r="W849">
        <f>Q849*V849</f>
      </c>
      <c r="X849">
        <v>1825</v>
      </c>
      <c r="Y849" t="s">
        <v>1784</v>
      </c>
      <c r="Z849" t="s">
        <v>242</v>
      </c>
      <c r="AA849"/>
      <c r="AB849"/>
      <c r="AC849" t="s">
        <v>243</v>
      </c>
      <c r="AD849"/>
    </row>
    <row r="850">
      <c r="A850" t="s">
        <v>30</v>
      </c>
      <c r="B850" t="s">
        <v>254</v>
      </c>
      <c r="C850" t="s">
        <v>1783</v>
      </c>
      <c r="D850" t="s">
        <v>262</v>
      </c>
      <c r="E850" t="s">
        <v>263</v>
      </c>
      <c r="F850" s="2">
        <v>46266</v>
      </c>
      <c r="G850">
        <v>2</v>
      </c>
      <c r="H850" t="s">
        <v>1118</v>
      </c>
      <c r="I850" t="s">
        <v>1119</v>
      </c>
      <c r="J850" t="s">
        <v>1120</v>
      </c>
      <c r="K850" t="s">
        <v>491</v>
      </c>
      <c r="L850" t="s">
        <v>1121</v>
      </c>
      <c r="M850">
        <v>264</v>
      </c>
      <c r="N850">
        <v>264</v>
      </c>
      <c r="O850" t="s">
        <v>197</v>
      </c>
      <c r="P850">
        <v>3</v>
      </c>
      <c r="Q850">
        <f>N850/P850</f>
      </c>
      <c r="R850" s="1">
        <v>315</v>
      </c>
      <c r="S850" s="1">
        <v>315</v>
      </c>
      <c r="T850">
        <f>IF(R850=S850,"相符","不相符")</f>
      </c>
      <c r="U850" t="s">
        <v>1122</v>
      </c>
      <c r="V850">
        <f>P850*R850</f>
      </c>
      <c r="W850">
        <f>Q850*V850</f>
      </c>
      <c r="X850">
        <v>1825</v>
      </c>
      <c r="Y850" t="s">
        <v>1784</v>
      </c>
      <c r="Z850" t="s">
        <v>242</v>
      </c>
      <c r="AA850"/>
      <c r="AB850"/>
      <c r="AC850" t="s">
        <v>243</v>
      </c>
      <c r="AD850"/>
    </row>
    <row r="851">
      <c r="A851" t="s">
        <v>30</v>
      </c>
      <c r="B851" t="s">
        <v>254</v>
      </c>
      <c r="C851" t="s">
        <v>1783</v>
      </c>
      <c r="D851" t="s">
        <v>262</v>
      </c>
      <c r="E851" t="s">
        <v>263</v>
      </c>
      <c r="F851" s="2">
        <v>46266</v>
      </c>
      <c r="G851">
        <v>3</v>
      </c>
      <c r="H851" t="s">
        <v>1723</v>
      </c>
      <c r="I851" t="s">
        <v>1724</v>
      </c>
      <c r="J851" t="s">
        <v>1725</v>
      </c>
      <c r="K851" t="s">
        <v>491</v>
      </c>
      <c r="L851" t="s">
        <v>1726</v>
      </c>
      <c r="M851">
        <v>1040</v>
      </c>
      <c r="N851">
        <v>1040</v>
      </c>
      <c r="O851" t="s">
        <v>197</v>
      </c>
      <c r="P851">
        <v>8</v>
      </c>
      <c r="Q851">
        <f>N851/P851</f>
      </c>
      <c r="R851" s="1">
        <v>82</v>
      </c>
      <c r="S851" s="1">
        <v>82</v>
      </c>
      <c r="T851">
        <f>IF(R851=S851,"相符","不相符")</f>
      </c>
      <c r="U851" t="s">
        <v>1727</v>
      </c>
      <c r="V851">
        <f>P851*R851</f>
      </c>
      <c r="W851">
        <f>Q851*V851</f>
      </c>
      <c r="X851">
        <v>1825</v>
      </c>
      <c r="Y851" t="s">
        <v>1784</v>
      </c>
      <c r="Z851" t="s">
        <v>242</v>
      </c>
      <c r="AA851"/>
      <c r="AB851"/>
      <c r="AC851" t="s">
        <v>243</v>
      </c>
      <c r="AD851"/>
    </row>
    <row r="852">
      <c r="A852" t="s">
        <v>30</v>
      </c>
      <c r="B852" t="s">
        <v>254</v>
      </c>
      <c r="C852" t="s">
        <v>1783</v>
      </c>
      <c r="D852" t="s">
        <v>262</v>
      </c>
      <c r="E852" t="s">
        <v>263</v>
      </c>
      <c r="F852" s="2">
        <v>46266</v>
      </c>
      <c r="G852">
        <v>4</v>
      </c>
      <c r="H852" t="s">
        <v>583</v>
      </c>
      <c r="I852" t="s">
        <v>584</v>
      </c>
      <c r="J852" t="s">
        <v>585</v>
      </c>
      <c r="K852" t="s">
        <v>491</v>
      </c>
      <c r="L852" t="s">
        <v>586</v>
      </c>
      <c r="M852">
        <v>132</v>
      </c>
      <c r="N852">
        <v>132</v>
      </c>
      <c r="O852" t="s">
        <v>84</v>
      </c>
      <c r="P852">
        <v>1</v>
      </c>
      <c r="Q852">
        <f>N852/P852</f>
      </c>
      <c r="R852" s="1">
        <v>569</v>
      </c>
      <c r="S852" s="1">
        <v>569</v>
      </c>
      <c r="T852">
        <f>IF(R852=S852,"相符","不相符")</f>
      </c>
      <c r="U852"/>
      <c r="V852">
        <f>P852*R852</f>
      </c>
      <c r="W852">
        <f>Q852*V852</f>
      </c>
      <c r="X852">
        <v>1825</v>
      </c>
      <c r="Y852" t="s">
        <v>1784</v>
      </c>
      <c r="Z852" t="s">
        <v>242</v>
      </c>
      <c r="AA852"/>
      <c r="AB852"/>
      <c r="AC852" t="s">
        <v>243</v>
      </c>
      <c r="AD852"/>
    </row>
    <row r="853">
      <c r="A853" t="s">
        <v>30</v>
      </c>
      <c r="B853" t="s">
        <v>254</v>
      </c>
      <c r="C853" t="s">
        <v>1785</v>
      </c>
      <c r="D853" t="s">
        <v>191</v>
      </c>
      <c r="E853" t="s">
        <v>192</v>
      </c>
      <c r="F853" s="2">
        <v>46266</v>
      </c>
      <c r="G853">
        <v>1</v>
      </c>
      <c r="H853" t="s">
        <v>272</v>
      </c>
      <c r="I853" t="s">
        <v>273</v>
      </c>
      <c r="J853" t="s">
        <v>274</v>
      </c>
      <c r="K853" t="s">
        <v>258</v>
      </c>
      <c r="L853" t="s">
        <v>275</v>
      </c>
      <c r="M853">
        <v>3432</v>
      </c>
      <c r="N853">
        <v>3432</v>
      </c>
      <c r="O853" t="s">
        <v>197</v>
      </c>
      <c r="P853">
        <v>8</v>
      </c>
      <c r="Q853">
        <f>N853/P853</f>
      </c>
      <c r="R853" s="1">
        <v>65</v>
      </c>
      <c r="S853" s="1">
        <v>65</v>
      </c>
      <c r="T853">
        <f>IF(R853=S853,"相符","不相符")</f>
      </c>
      <c r="U853" t="s">
        <v>276</v>
      </c>
      <c r="V853">
        <f>P853*R853</f>
      </c>
      <c r="W853">
        <f>Q853*V853</f>
      </c>
      <c r="X853">
        <v>1825</v>
      </c>
      <c r="Y853" t="s">
        <v>1784</v>
      </c>
      <c r="Z853" t="s">
        <v>213</v>
      </c>
      <c r="AA853"/>
      <c r="AB853"/>
      <c r="AC853" t="s">
        <v>243</v>
      </c>
      <c r="AD853"/>
    </row>
    <row r="854">
      <c r="A854" t="s">
        <v>30</v>
      </c>
      <c r="B854" t="s">
        <v>233</v>
      </c>
      <c r="C854" t="s">
        <v>1785</v>
      </c>
      <c r="D854" t="s">
        <v>191</v>
      </c>
      <c r="E854" t="s">
        <v>192</v>
      </c>
      <c r="F854" s="2">
        <v>46266</v>
      </c>
      <c r="G854">
        <v>2</v>
      </c>
      <c r="H854" t="s">
        <v>284</v>
      </c>
      <c r="I854" t="s">
        <v>285</v>
      </c>
      <c r="J854" t="s">
        <v>286</v>
      </c>
      <c r="K854" t="s">
        <v>238</v>
      </c>
      <c r="L854" t="s">
        <v>287</v>
      </c>
      <c r="M854">
        <v>2520</v>
      </c>
      <c r="N854">
        <v>2520</v>
      </c>
      <c r="O854" t="s">
        <v>240</v>
      </c>
      <c r="P854">
        <v>12</v>
      </c>
      <c r="Q854">
        <f>N854/P854</f>
      </c>
      <c r="R854" s="1">
        <v>64</v>
      </c>
      <c r="S854" s="1">
        <v>64</v>
      </c>
      <c r="T854">
        <f>IF(R854=S854,"相符","不相符")</f>
      </c>
      <c r="U854"/>
      <c r="V854">
        <f>P854*R854</f>
      </c>
      <c r="W854">
        <f>Q854*V854</f>
      </c>
      <c r="X854">
        <v>1095</v>
      </c>
      <c r="Y854" t="s">
        <v>1786</v>
      </c>
      <c r="Z854" t="s">
        <v>213</v>
      </c>
      <c r="AA854"/>
      <c r="AB854"/>
      <c r="AC854" t="s">
        <v>243</v>
      </c>
      <c r="AD854"/>
    </row>
    <row r="855">
      <c r="A855" t="s">
        <v>30</v>
      </c>
      <c r="B855" t="s">
        <v>233</v>
      </c>
      <c r="C855" t="s">
        <v>1787</v>
      </c>
      <c r="D855" t="s">
        <v>33</v>
      </c>
      <c r="E855" t="s">
        <v>34</v>
      </c>
      <c r="F855" s="2">
        <v>46267</v>
      </c>
      <c r="G855">
        <v>1</v>
      </c>
      <c r="H855" t="s">
        <v>1384</v>
      </c>
      <c r="I855" t="s">
        <v>1385</v>
      </c>
      <c r="J855" t="s">
        <v>1386</v>
      </c>
      <c r="K855" t="s">
        <v>238</v>
      </c>
      <c r="L855" t="s">
        <v>1387</v>
      </c>
      <c r="M855">
        <v>336</v>
      </c>
      <c r="N855">
        <v>336</v>
      </c>
      <c r="O855" t="s">
        <v>240</v>
      </c>
      <c r="P855">
        <v>12</v>
      </c>
      <c r="Q855">
        <f>N855/P855</f>
      </c>
      <c r="R855" s="1">
        <v>73</v>
      </c>
      <c r="S855" s="1">
        <v>73</v>
      </c>
      <c r="T855">
        <f>IF(R855=S855,"相符","不相符")</f>
      </c>
      <c r="U855"/>
      <c r="V855">
        <f>P855*R855</f>
      </c>
      <c r="W855">
        <f>Q855*V855</f>
      </c>
      <c r="X855">
        <v>1095</v>
      </c>
      <c r="Y855" t="s">
        <v>1704</v>
      </c>
      <c r="Z855" t="s">
        <v>213</v>
      </c>
      <c r="AA855"/>
      <c r="AB855"/>
      <c r="AC855" t="s">
        <v>243</v>
      </c>
      <c r="AD855"/>
    </row>
    <row r="856">
      <c r="A856" t="s">
        <v>30</v>
      </c>
      <c r="B856" t="s">
        <v>254</v>
      </c>
      <c r="C856" t="s">
        <v>1787</v>
      </c>
      <c r="D856" t="s">
        <v>33</v>
      </c>
      <c r="E856" t="s">
        <v>34</v>
      </c>
      <c r="F856" s="2">
        <v>46267</v>
      </c>
      <c r="G856">
        <v>2</v>
      </c>
      <c r="H856" t="s">
        <v>255</v>
      </c>
      <c r="I856" t="s">
        <v>256</v>
      </c>
      <c r="J856" t="s">
        <v>257</v>
      </c>
      <c r="K856" t="s">
        <v>258</v>
      </c>
      <c r="L856" t="s">
        <v>259</v>
      </c>
      <c r="M856">
        <v>1722</v>
      </c>
      <c r="N856">
        <v>1720</v>
      </c>
      <c r="O856" t="s">
        <v>197</v>
      </c>
      <c r="P856">
        <v>10</v>
      </c>
      <c r="Q856">
        <f>N856/P856</f>
      </c>
      <c r="R856" s="1">
        <v>44</v>
      </c>
      <c r="S856" s="1">
        <v>44</v>
      </c>
      <c r="T856">
        <f>IF(R856=S856,"相符","不相符")</f>
      </c>
      <c r="U856"/>
      <c r="V856">
        <f>P856*R856</f>
      </c>
      <c r="W856">
        <f>Q856*V856</f>
      </c>
      <c r="X856">
        <v>1095</v>
      </c>
      <c r="Y856" t="s">
        <v>1788</v>
      </c>
      <c r="Z856" t="s">
        <v>213</v>
      </c>
      <c r="AA856"/>
      <c r="AB856"/>
      <c r="AC856" t="s">
        <v>243</v>
      </c>
      <c r="AD856"/>
    </row>
    <row r="857">
      <c r="A857" t="s">
        <v>30</v>
      </c>
      <c r="B857" t="s">
        <v>254</v>
      </c>
      <c r="C857" t="s">
        <v>1789</v>
      </c>
      <c r="D857" t="s">
        <v>33</v>
      </c>
      <c r="E857" t="s">
        <v>34</v>
      </c>
      <c r="F857" s="2">
        <v>46267</v>
      </c>
      <c r="G857">
        <v>1</v>
      </c>
      <c r="H857" t="s">
        <v>272</v>
      </c>
      <c r="I857" t="s">
        <v>273</v>
      </c>
      <c r="J857" t="s">
        <v>274</v>
      </c>
      <c r="K857" t="s">
        <v>258</v>
      </c>
      <c r="L857" t="s">
        <v>275</v>
      </c>
      <c r="M857">
        <v>208</v>
      </c>
      <c r="N857">
        <v>208</v>
      </c>
      <c r="O857" t="s">
        <v>197</v>
      </c>
      <c r="P857">
        <v>8</v>
      </c>
      <c r="Q857">
        <f>N857/P857</f>
      </c>
      <c r="R857" s="1">
        <v>65</v>
      </c>
      <c r="S857" s="1">
        <v>65</v>
      </c>
      <c r="T857">
        <f>IF(R857=S857,"相符","不相符")</f>
      </c>
      <c r="U857" t="s">
        <v>276</v>
      </c>
      <c r="V857">
        <f>P857*R857</f>
      </c>
      <c r="W857">
        <f>Q857*V857</f>
      </c>
      <c r="X857">
        <v>1825</v>
      </c>
      <c r="Y857" t="s">
        <v>1703</v>
      </c>
      <c r="Z857" t="s">
        <v>213</v>
      </c>
      <c r="AA857"/>
      <c r="AB857"/>
      <c r="AC857" t="s">
        <v>243</v>
      </c>
      <c r="AD857"/>
    </row>
    <row r="858">
      <c r="A858" t="s">
        <v>30</v>
      </c>
      <c r="B858" t="s">
        <v>233</v>
      </c>
      <c r="C858" t="s">
        <v>1789</v>
      </c>
      <c r="D858" t="s">
        <v>33</v>
      </c>
      <c r="E858" t="s">
        <v>34</v>
      </c>
      <c r="F858" s="2">
        <v>46267</v>
      </c>
      <c r="G858">
        <v>2</v>
      </c>
      <c r="H858" t="s">
        <v>284</v>
      </c>
      <c r="I858" t="s">
        <v>285</v>
      </c>
      <c r="J858" t="s">
        <v>286</v>
      </c>
      <c r="K858" t="s">
        <v>238</v>
      </c>
      <c r="L858" t="s">
        <v>287</v>
      </c>
      <c r="M858">
        <v>432</v>
      </c>
      <c r="N858">
        <v>432</v>
      </c>
      <c r="O858" t="s">
        <v>240</v>
      </c>
      <c r="P858">
        <v>12</v>
      </c>
      <c r="Q858">
        <f>N858/P858</f>
      </c>
      <c r="R858" s="1">
        <v>64</v>
      </c>
      <c r="S858" s="1">
        <v>64</v>
      </c>
      <c r="T858">
        <f>IF(R858=S858,"相符","不相符")</f>
      </c>
      <c r="U858"/>
      <c r="V858">
        <f>P858*R858</f>
      </c>
      <c r="W858">
        <f>Q858*V858</f>
      </c>
      <c r="X858">
        <v>1095</v>
      </c>
      <c r="Y858" t="s">
        <v>1704</v>
      </c>
      <c r="Z858" t="s">
        <v>213</v>
      </c>
      <c r="AA858"/>
      <c r="AB858"/>
      <c r="AC858" t="s">
        <v>243</v>
      </c>
      <c r="AD858"/>
    </row>
    <row r="859">
      <c r="A859" t="s">
        <v>30</v>
      </c>
      <c r="B859" t="s">
        <v>233</v>
      </c>
      <c r="C859" t="s">
        <v>1789</v>
      </c>
      <c r="D859" t="s">
        <v>33</v>
      </c>
      <c r="E859" t="s">
        <v>34</v>
      </c>
      <c r="F859" s="2">
        <v>46267</v>
      </c>
      <c r="G859">
        <v>3</v>
      </c>
      <c r="H859" t="s">
        <v>278</v>
      </c>
      <c r="I859" t="s">
        <v>279</v>
      </c>
      <c r="J859" t="s">
        <v>280</v>
      </c>
      <c r="K859" t="s">
        <v>238</v>
      </c>
      <c r="L859" t="s">
        <v>281</v>
      </c>
      <c r="M859">
        <v>1152</v>
      </c>
      <c r="N859">
        <v>1152</v>
      </c>
      <c r="O859" t="s">
        <v>177</v>
      </c>
      <c r="P859">
        <v>12</v>
      </c>
      <c r="Q859">
        <f>N859/P859</f>
      </c>
      <c r="R859" s="1">
        <v>74</v>
      </c>
      <c r="S859" s="1">
        <v>74</v>
      </c>
      <c r="T859">
        <f>IF(R859=S859,"相符","不相符")</f>
      </c>
      <c r="U859"/>
      <c r="V859">
        <f>P859*R859</f>
      </c>
      <c r="W859">
        <f>Q859*V859</f>
      </c>
      <c r="X859">
        <v>1095</v>
      </c>
      <c r="Y859" t="s">
        <v>1704</v>
      </c>
      <c r="Z859" t="s">
        <v>213</v>
      </c>
      <c r="AA859"/>
      <c r="AB859"/>
      <c r="AC859" t="s">
        <v>243</v>
      </c>
      <c r="AD859"/>
    </row>
    <row r="860">
      <c r="A860" t="s">
        <v>30</v>
      </c>
      <c r="B860" t="s">
        <v>233</v>
      </c>
      <c r="C860" t="s">
        <v>1789</v>
      </c>
      <c r="D860" t="s">
        <v>33</v>
      </c>
      <c r="E860" t="s">
        <v>34</v>
      </c>
      <c r="F860" s="2">
        <v>46267</v>
      </c>
      <c r="G860">
        <v>4</v>
      </c>
      <c r="H860" t="s">
        <v>249</v>
      </c>
      <c r="I860" t="s">
        <v>250</v>
      </c>
      <c r="J860" t="s">
        <v>251</v>
      </c>
      <c r="K860" t="s">
        <v>238</v>
      </c>
      <c r="L860" t="s">
        <v>252</v>
      </c>
      <c r="M860">
        <v>96</v>
      </c>
      <c r="N860">
        <v>96</v>
      </c>
      <c r="O860" t="s">
        <v>177</v>
      </c>
      <c r="P860">
        <v>6</v>
      </c>
      <c r="Q860">
        <f>N860/P860</f>
      </c>
      <c r="R860" s="1">
        <v>137</v>
      </c>
      <c r="S860" s="1">
        <v>137</v>
      </c>
      <c r="T860">
        <f>IF(R860=S860,"相符","不相符")</f>
      </c>
      <c r="U860"/>
      <c r="V860">
        <f>P860*R860</f>
      </c>
      <c r="W860">
        <f>Q860*V860</f>
      </c>
      <c r="X860">
        <v>1095</v>
      </c>
      <c r="Y860" t="s">
        <v>1704</v>
      </c>
      <c r="Z860" t="s">
        <v>213</v>
      </c>
      <c r="AA860"/>
      <c r="AB860"/>
      <c r="AC860" t="s">
        <v>243</v>
      </c>
      <c r="AD860"/>
    </row>
    <row r="861">
      <c r="A861" t="s">
        <v>30</v>
      </c>
      <c r="B861" t="s">
        <v>254</v>
      </c>
      <c r="C861" t="s">
        <v>1790</v>
      </c>
      <c r="D861" t="s">
        <v>604</v>
      </c>
      <c r="E861" t="s">
        <v>605</v>
      </c>
      <c r="F861" s="2">
        <v>46267</v>
      </c>
      <c r="G861">
        <v>1</v>
      </c>
      <c r="H861" t="s">
        <v>264</v>
      </c>
      <c r="I861" t="s">
        <v>265</v>
      </c>
      <c r="J861" t="s">
        <v>266</v>
      </c>
      <c r="K861" t="s">
        <v>258</v>
      </c>
      <c r="L861" t="s">
        <v>267</v>
      </c>
      <c r="M861">
        <v>847</v>
      </c>
      <c r="N861">
        <v>847</v>
      </c>
      <c r="O861" t="s">
        <v>197</v>
      </c>
      <c r="P861">
        <v>7</v>
      </c>
      <c r="Q861">
        <f>N861/P861</f>
      </c>
      <c r="R861" s="1">
        <v>92</v>
      </c>
      <c r="S861" s="1">
        <v>92</v>
      </c>
      <c r="T861">
        <f>IF(R861=S861,"相符","不相符")</f>
      </c>
      <c r="U861" t="s">
        <v>268</v>
      </c>
      <c r="V861">
        <f>P861*R861</f>
      </c>
      <c r="W861">
        <f>Q861*V861</f>
      </c>
      <c r="X861">
        <v>1825</v>
      </c>
      <c r="Y861" t="s">
        <v>1703</v>
      </c>
      <c r="Z861" t="s">
        <v>42</v>
      </c>
      <c r="AA861"/>
      <c r="AB861"/>
      <c r="AC861" t="s">
        <v>243</v>
      </c>
      <c r="AD861"/>
    </row>
    <row r="862">
      <c r="A862" t="s">
        <v>30</v>
      </c>
      <c r="B862" t="s">
        <v>254</v>
      </c>
      <c r="C862" t="s">
        <v>1791</v>
      </c>
      <c r="D862" t="s">
        <v>604</v>
      </c>
      <c r="E862" t="s">
        <v>605</v>
      </c>
      <c r="F862" s="2">
        <v>46266</v>
      </c>
      <c r="G862">
        <v>1</v>
      </c>
      <c r="H862" t="s">
        <v>264</v>
      </c>
      <c r="I862" t="s">
        <v>265</v>
      </c>
      <c r="J862" t="s">
        <v>266</v>
      </c>
      <c r="K862" t="s">
        <v>258</v>
      </c>
      <c r="L862" t="s">
        <v>267</v>
      </c>
      <c r="M862">
        <v>1694</v>
      </c>
      <c r="N862">
        <v>1694</v>
      </c>
      <c r="O862" t="s">
        <v>197</v>
      </c>
      <c r="P862">
        <v>7</v>
      </c>
      <c r="Q862">
        <f>N862/P862</f>
      </c>
      <c r="R862" s="1">
        <v>92</v>
      </c>
      <c r="S862" s="1">
        <v>92</v>
      </c>
      <c r="T862">
        <f>IF(R862=S862,"相符","不相符")</f>
      </c>
      <c r="U862" t="s">
        <v>268</v>
      </c>
      <c r="V862">
        <f>P862*R862</f>
      </c>
      <c r="W862">
        <f>Q862*V862</f>
      </c>
      <c r="X862">
        <v>1825</v>
      </c>
      <c r="Y862" t="s">
        <v>1784</v>
      </c>
      <c r="Z862" t="s">
        <v>42</v>
      </c>
      <c r="AA862"/>
      <c r="AB862"/>
      <c r="AC862" t="s">
        <v>243</v>
      </c>
      <c r="AD862"/>
    </row>
    <row r="863">
      <c r="A863" t="s">
        <v>30</v>
      </c>
      <c r="B863" t="s">
        <v>254</v>
      </c>
      <c r="C863" t="s">
        <v>1792</v>
      </c>
      <c r="D863" t="s">
        <v>604</v>
      </c>
      <c r="E863" t="s">
        <v>605</v>
      </c>
      <c r="F863" s="2">
        <v>46268</v>
      </c>
      <c r="G863">
        <v>1</v>
      </c>
      <c r="H863" t="s">
        <v>264</v>
      </c>
      <c r="I863" t="s">
        <v>265</v>
      </c>
      <c r="J863" t="s">
        <v>266</v>
      </c>
      <c r="K863" t="s">
        <v>258</v>
      </c>
      <c r="L863" t="s">
        <v>267</v>
      </c>
      <c r="M863">
        <v>847</v>
      </c>
      <c r="N863">
        <v>847</v>
      </c>
      <c r="O863" t="s">
        <v>197</v>
      </c>
      <c r="P863">
        <v>7</v>
      </c>
      <c r="Q863">
        <f>N863/P863</f>
      </c>
      <c r="R863" s="1">
        <v>92</v>
      </c>
      <c r="S863" s="1">
        <v>92</v>
      </c>
      <c r="T863">
        <f>IF(R863=S863,"相符","不相符")</f>
      </c>
      <c r="U863" t="s">
        <v>268</v>
      </c>
      <c r="V863">
        <f>P863*R863</f>
      </c>
      <c r="W863">
        <f>Q863*V863</f>
      </c>
      <c r="X863">
        <v>1825</v>
      </c>
      <c r="Y863" t="s">
        <v>1600</v>
      </c>
      <c r="Z863" t="s">
        <v>42</v>
      </c>
      <c r="AA863"/>
      <c r="AB863"/>
      <c r="AC863" t="s">
        <v>243</v>
      </c>
      <c r="AD863"/>
    </row>
    <row r="864">
      <c r="A864" t="s">
        <v>30</v>
      </c>
      <c r="B864" t="s">
        <v>233</v>
      </c>
      <c r="C864" t="s">
        <v>1793</v>
      </c>
      <c r="D864" t="s">
        <v>478</v>
      </c>
      <c r="E864" t="s">
        <v>479</v>
      </c>
      <c r="F864" s="2">
        <v>46294</v>
      </c>
      <c r="G864">
        <v>1</v>
      </c>
      <c r="H864" t="s">
        <v>1562</v>
      </c>
      <c r="I864" t="s">
        <v>1563</v>
      </c>
      <c r="J864" t="s">
        <v>1559</v>
      </c>
      <c r="K864" t="s">
        <v>238</v>
      </c>
      <c r="L864" t="s">
        <v>1564</v>
      </c>
      <c r="M864">
        <v>5</v>
      </c>
      <c r="N864">
        <v>5</v>
      </c>
      <c r="O864" t="s">
        <v>84</v>
      </c>
      <c r="P864">
        <v>1</v>
      </c>
      <c r="Q864">
        <f>N864/P864</f>
      </c>
      <c r="R864" s="1">
        <v>1200</v>
      </c>
      <c r="S864" s="1">
        <v>1200</v>
      </c>
      <c r="T864">
        <f>IF(R864=S864,"相符","不相符")</f>
      </c>
      <c r="U864"/>
      <c r="V864">
        <f>P864*R864</f>
      </c>
      <c r="W864">
        <f>Q864*V864</f>
      </c>
      <c r="X864">
        <v>1095</v>
      </c>
      <c r="Y864" t="s">
        <v>609</v>
      </c>
      <c r="Z864" t="s">
        <v>1794</v>
      </c>
      <c r="AA864"/>
      <c r="AB864"/>
      <c r="AC864" t="s">
        <v>243</v>
      </c>
      <c r="AD864"/>
    </row>
    <row r="865">
      <c r="A865" t="s">
        <v>30</v>
      </c>
      <c r="B865" t="s">
        <v>189</v>
      </c>
      <c r="C865" t="s">
        <v>1795</v>
      </c>
      <c r="D865" t="s">
        <v>262</v>
      </c>
      <c r="E865" t="s">
        <v>263</v>
      </c>
      <c r="F865" s="2">
        <v>46273</v>
      </c>
      <c r="G865">
        <v>1</v>
      </c>
      <c r="H865" t="s">
        <v>1796</v>
      </c>
      <c r="I865" t="s">
        <v>1797</v>
      </c>
      <c r="J865" t="s">
        <v>1797</v>
      </c>
      <c r="K865" t="s">
        <v>195</v>
      </c>
      <c r="L865" t="s">
        <v>1798</v>
      </c>
      <c r="M865">
        <v>144</v>
      </c>
      <c r="N865">
        <v>116</v>
      </c>
      <c r="O865" t="s">
        <v>683</v>
      </c>
      <c r="P865">
        <v>1</v>
      </c>
      <c r="Q865">
        <f>N865/P865</f>
      </c>
      <c r="R865" s="1">
        <v>883</v>
      </c>
      <c r="S865" s="1">
        <v>883</v>
      </c>
      <c r="T865">
        <f>IF(R865=S865,"相符","不相符")</f>
      </c>
      <c r="U865"/>
      <c r="V865">
        <f>P865*R865</f>
      </c>
      <c r="W865">
        <f>Q865*V865</f>
      </c>
      <c r="X865">
        <v>1095</v>
      </c>
      <c r="Y865" t="s">
        <v>1176</v>
      </c>
      <c r="Z865" t="s">
        <v>803</v>
      </c>
      <c r="AA865"/>
      <c r="AB865"/>
      <c r="AC865" t="s">
        <v>49</v>
      </c>
      <c r="AD865"/>
    </row>
    <row r="866">
      <c r="A866" t="s">
        <v>30</v>
      </c>
      <c r="B866" t="s">
        <v>189</v>
      </c>
      <c r="C866" t="s">
        <v>1795</v>
      </c>
      <c r="D866" t="s">
        <v>262</v>
      </c>
      <c r="E866" t="s">
        <v>263</v>
      </c>
      <c r="F866" s="2">
        <v>46273</v>
      </c>
      <c r="G866">
        <v>2</v>
      </c>
      <c r="H866" t="s">
        <v>1799</v>
      </c>
      <c r="I866" t="s">
        <v>1800</v>
      </c>
      <c r="J866" t="s">
        <v>1800</v>
      </c>
      <c r="K866" t="s">
        <v>195</v>
      </c>
      <c r="L866" t="s">
        <v>1801</v>
      </c>
      <c r="M866">
        <v>654</v>
      </c>
      <c r="N866">
        <v>253</v>
      </c>
      <c r="O866" t="s">
        <v>683</v>
      </c>
      <c r="P866">
        <v>1</v>
      </c>
      <c r="Q866">
        <f>N866/P866</f>
      </c>
      <c r="R866" s="1">
        <v>883</v>
      </c>
      <c r="S866" s="1">
        <v>883</v>
      </c>
      <c r="T866">
        <f>IF(R866=S866,"相符","不相符")</f>
      </c>
      <c r="U866"/>
      <c r="V866">
        <f>P866*R866</f>
      </c>
      <c r="W866">
        <f>Q866*V866</f>
      </c>
      <c r="X866">
        <v>1095</v>
      </c>
      <c r="Y866" t="s">
        <v>1176</v>
      </c>
      <c r="Z866" t="s">
        <v>803</v>
      </c>
      <c r="AA866"/>
      <c r="AB866"/>
      <c r="AC866" t="s">
        <v>49</v>
      </c>
      <c r="AD866"/>
    </row>
    <row r="867">
      <c r="A867" t="s">
        <v>30</v>
      </c>
      <c r="B867" t="s">
        <v>189</v>
      </c>
      <c r="C867" t="s">
        <v>1802</v>
      </c>
      <c r="D867" t="s">
        <v>262</v>
      </c>
      <c r="E867" t="s">
        <v>263</v>
      </c>
      <c r="F867" s="2">
        <v>46273</v>
      </c>
      <c r="G867">
        <v>1</v>
      </c>
      <c r="H867" t="s">
        <v>1689</v>
      </c>
      <c r="I867" t="s">
        <v>1690</v>
      </c>
      <c r="J867" t="s">
        <v>1690</v>
      </c>
      <c r="K867" t="s">
        <v>419</v>
      </c>
      <c r="L867" t="s">
        <v>1691</v>
      </c>
      <c r="M867">
        <v>14</v>
      </c>
      <c r="N867">
        <v>14</v>
      </c>
      <c r="O867" t="s">
        <v>84</v>
      </c>
      <c r="P867">
        <v>1</v>
      </c>
      <c r="Q867">
        <f>N867/P867</f>
      </c>
      <c r="R867" s="1">
        <v>1232</v>
      </c>
      <c r="S867" s="1">
        <v>1232</v>
      </c>
      <c r="T867">
        <f>IF(R867=S867,"相符","不相符")</f>
      </c>
      <c r="U867"/>
      <c r="V867">
        <f>P867*R867</f>
      </c>
      <c r="W867">
        <f>Q867*V867</f>
      </c>
      <c r="X867">
        <v>1095</v>
      </c>
      <c r="Y867" t="s">
        <v>1176</v>
      </c>
      <c r="Z867" t="s">
        <v>1803</v>
      </c>
      <c r="AA867"/>
      <c r="AB867"/>
      <c r="AC867" t="s">
        <v>49</v>
      </c>
      <c r="AD867"/>
    </row>
    <row r="868">
      <c r="A868" t="s">
        <v>30</v>
      </c>
      <c r="B868" t="s">
        <v>189</v>
      </c>
      <c r="C868" t="s">
        <v>1804</v>
      </c>
      <c r="D868" t="s">
        <v>33</v>
      </c>
      <c r="E868" t="s">
        <v>34</v>
      </c>
      <c r="F868" s="2">
        <v>46279</v>
      </c>
      <c r="G868">
        <v>1</v>
      </c>
      <c r="H868" t="s">
        <v>1805</v>
      </c>
      <c r="I868" t="s">
        <v>1806</v>
      </c>
      <c r="J868" t="s">
        <v>1806</v>
      </c>
      <c r="K868" t="s">
        <v>195</v>
      </c>
      <c r="L868" t="s">
        <v>1807</v>
      </c>
      <c r="M868">
        <v>24</v>
      </c>
      <c r="N868">
        <v>24</v>
      </c>
      <c r="O868" t="s">
        <v>683</v>
      </c>
      <c r="P868">
        <v>1</v>
      </c>
      <c r="Q868">
        <f>N868/P868</f>
      </c>
      <c r="R868" s="1">
        <v>883</v>
      </c>
      <c r="S868" s="1">
        <v>883</v>
      </c>
      <c r="T868">
        <f>IF(R868=S868,"相符","不相符")</f>
      </c>
      <c r="U868"/>
      <c r="V868">
        <f>P868*R868</f>
      </c>
      <c r="W868">
        <f>Q868*V868</f>
      </c>
      <c r="X868">
        <v>1095</v>
      </c>
      <c r="Y868" t="s">
        <v>1408</v>
      </c>
      <c r="Z868" t="s">
        <v>422</v>
      </c>
      <c r="AA868"/>
      <c r="AB868"/>
      <c r="AC868" t="s">
        <v>49</v>
      </c>
      <c r="AD868"/>
    </row>
    <row r="869">
      <c r="A869" t="s">
        <v>30</v>
      </c>
      <c r="B869" t="s">
        <v>189</v>
      </c>
      <c r="C869" t="s">
        <v>1808</v>
      </c>
      <c r="D869" t="s">
        <v>33</v>
      </c>
      <c r="E869" t="s">
        <v>34</v>
      </c>
      <c r="F869" s="2">
        <v>46277</v>
      </c>
      <c r="G869">
        <v>1</v>
      </c>
      <c r="H869" t="s">
        <v>1618</v>
      </c>
      <c r="I869" t="s">
        <v>1619</v>
      </c>
      <c r="J869" t="s">
        <v>1619</v>
      </c>
      <c r="K869" t="s">
        <v>195</v>
      </c>
      <c r="L869" t="s">
        <v>1620</v>
      </c>
      <c r="M869">
        <v>228</v>
      </c>
      <c r="N869">
        <v>228</v>
      </c>
      <c r="O869" t="s">
        <v>197</v>
      </c>
      <c r="P869">
        <v>12</v>
      </c>
      <c r="Q869">
        <f>N869/P869</f>
      </c>
      <c r="R869" s="1">
        <v>95</v>
      </c>
      <c r="S869" s="1">
        <v>95</v>
      </c>
      <c r="T869">
        <f>IF(R869=S869,"相符","不相符")</f>
      </c>
      <c r="U869"/>
      <c r="V869">
        <f>P869*R869</f>
      </c>
      <c r="W869">
        <f>Q869*V869</f>
      </c>
      <c r="X869">
        <v>1095</v>
      </c>
      <c r="Y869" t="s">
        <v>241</v>
      </c>
      <c r="Z869" t="s">
        <v>422</v>
      </c>
      <c r="AA869"/>
      <c r="AB869"/>
      <c r="AC869" t="s">
        <v>49</v>
      </c>
      <c r="AD869"/>
    </row>
    <row r="870">
      <c r="A870" t="s">
        <v>30</v>
      </c>
      <c r="B870" t="s">
        <v>233</v>
      </c>
      <c r="C870" t="s">
        <v>1809</v>
      </c>
      <c r="D870" t="s">
        <v>464</v>
      </c>
      <c r="E870" t="s">
        <v>465</v>
      </c>
      <c r="F870" s="2">
        <v>46284</v>
      </c>
      <c r="G870">
        <v>1</v>
      </c>
      <c r="H870" t="s">
        <v>1810</v>
      </c>
      <c r="I870" t="s">
        <v>1811</v>
      </c>
      <c r="J870" t="s">
        <v>902</v>
      </c>
      <c r="K870" t="s">
        <v>238</v>
      </c>
      <c r="L870" t="s">
        <v>1812</v>
      </c>
      <c r="M870">
        <v>12</v>
      </c>
      <c r="N870">
        <v>12</v>
      </c>
      <c r="O870" t="s">
        <v>84</v>
      </c>
      <c r="P870">
        <v>1</v>
      </c>
      <c r="Q870">
        <f>N870/P870</f>
      </c>
      <c r="R870" s="1">
        <v>1310</v>
      </c>
      <c r="S870" s="1">
        <v>1310</v>
      </c>
      <c r="T870">
        <f>IF(R870=S870,"相符","不相符")</f>
      </c>
      <c r="U870" t="s">
        <v>1813</v>
      </c>
      <c r="V870">
        <f>P870*R870</f>
      </c>
      <c r="W870">
        <f>Q870*V870</f>
      </c>
      <c r="X870">
        <v>1095</v>
      </c>
      <c r="Y870" t="s">
        <v>1814</v>
      </c>
      <c r="Z870" t="s">
        <v>422</v>
      </c>
      <c r="AA870"/>
      <c r="AB870"/>
      <c r="AC870" t="s">
        <v>243</v>
      </c>
      <c r="AD870"/>
    </row>
    <row r="871">
      <c r="A871" t="s">
        <v>30</v>
      </c>
      <c r="B871" t="s">
        <v>233</v>
      </c>
      <c r="C871" t="s">
        <v>1815</v>
      </c>
      <c r="D871" t="s">
        <v>478</v>
      </c>
      <c r="E871" t="s">
        <v>479</v>
      </c>
      <c r="F871" s="2">
        <v>46283</v>
      </c>
      <c r="G871">
        <v>1</v>
      </c>
      <c r="H871" t="s">
        <v>284</v>
      </c>
      <c r="I871" t="s">
        <v>285</v>
      </c>
      <c r="J871" t="s">
        <v>286</v>
      </c>
      <c r="K871" t="s">
        <v>238</v>
      </c>
      <c r="L871" t="s">
        <v>287</v>
      </c>
      <c r="M871">
        <v>984</v>
      </c>
      <c r="N871">
        <v>984</v>
      </c>
      <c r="O871" t="s">
        <v>240</v>
      </c>
      <c r="P871">
        <v>12</v>
      </c>
      <c r="Q871">
        <f>N871/P871</f>
      </c>
      <c r="R871" s="1">
        <v>64</v>
      </c>
      <c r="S871" s="1">
        <v>64</v>
      </c>
      <c r="T871">
        <f>IF(R871=S871,"相符","不相符")</f>
      </c>
      <c r="U871"/>
      <c r="V871">
        <f>P871*R871</f>
      </c>
      <c r="W871">
        <f>Q871*V871</f>
      </c>
      <c r="X871">
        <v>1095</v>
      </c>
      <c r="Y871" t="s">
        <v>1447</v>
      </c>
      <c r="Z871" t="s">
        <v>1816</v>
      </c>
      <c r="AA871"/>
      <c r="AB871"/>
      <c r="AC871" t="s">
        <v>243</v>
      </c>
      <c r="AD871"/>
    </row>
    <row r="872">
      <c r="A872" t="s">
        <v>30</v>
      </c>
      <c r="B872" t="s">
        <v>31</v>
      </c>
      <c r="C872" t="s">
        <v>1817</v>
      </c>
      <c r="D872" t="s">
        <v>478</v>
      </c>
      <c r="E872" t="s">
        <v>479</v>
      </c>
      <c r="F872" s="2">
        <v>46286</v>
      </c>
      <c r="G872">
        <v>1</v>
      </c>
      <c r="H872" t="s">
        <v>332</v>
      </c>
      <c r="I872" t="s">
        <v>333</v>
      </c>
      <c r="J872" t="s">
        <v>334</v>
      </c>
      <c r="K872" t="s">
        <v>38</v>
      </c>
      <c r="L872" t="s">
        <v>335</v>
      </c>
      <c r="M872">
        <v>560</v>
      </c>
      <c r="N872">
        <v>560</v>
      </c>
      <c r="O872" t="s">
        <v>40</v>
      </c>
      <c r="P872">
        <v>10</v>
      </c>
      <c r="Q872">
        <f>N872/P872</f>
      </c>
      <c r="R872" s="1">
        <v>277</v>
      </c>
      <c r="S872" s="1">
        <v>277</v>
      </c>
      <c r="T872">
        <f>IF(R872=S872,"相符","不相符")</f>
      </c>
      <c r="U872" t="s">
        <v>336</v>
      </c>
      <c r="V872">
        <f>P872*R872</f>
      </c>
      <c r="W872">
        <f>Q872*V872</f>
      </c>
      <c r="X872">
        <v>730</v>
      </c>
      <c r="Y872" t="s">
        <v>654</v>
      </c>
      <c r="Z872" t="s">
        <v>213</v>
      </c>
      <c r="AA872"/>
      <c r="AB872"/>
      <c r="AC872" t="s">
        <v>49</v>
      </c>
      <c r="AD872"/>
    </row>
    <row r="873">
      <c r="A873" t="s">
        <v>30</v>
      </c>
      <c r="B873" t="s">
        <v>233</v>
      </c>
      <c r="C873" t="s">
        <v>1818</v>
      </c>
      <c r="D873" t="s">
        <v>478</v>
      </c>
      <c r="E873" t="s">
        <v>479</v>
      </c>
      <c r="F873" s="2">
        <v>46286</v>
      </c>
      <c r="G873">
        <v>1</v>
      </c>
      <c r="H873" t="s">
        <v>1705</v>
      </c>
      <c r="I873" t="s">
        <v>1706</v>
      </c>
      <c r="J873" t="s">
        <v>1707</v>
      </c>
      <c r="K873" t="s">
        <v>238</v>
      </c>
      <c r="L873" t="s">
        <v>1708</v>
      </c>
      <c r="M873">
        <v>1236</v>
      </c>
      <c r="N873">
        <v>1236</v>
      </c>
      <c r="O873" t="s">
        <v>177</v>
      </c>
      <c r="P873">
        <v>12</v>
      </c>
      <c r="Q873">
        <f>N873/P873</f>
      </c>
      <c r="R873" s="1">
        <v>74</v>
      </c>
      <c r="S873" s="1">
        <v>74</v>
      </c>
      <c r="T873">
        <f>IF(R873=S873,"相符","不相符")</f>
      </c>
      <c r="U873"/>
      <c r="V873">
        <f>P873*R873</f>
      </c>
      <c r="W873">
        <f>Q873*V873</f>
      </c>
      <c r="X873">
        <v>1095</v>
      </c>
      <c r="Y873" t="s">
        <v>625</v>
      </c>
      <c r="Z873" t="s">
        <v>213</v>
      </c>
      <c r="AA873"/>
      <c r="AB873"/>
      <c r="AC873" t="s">
        <v>243</v>
      </c>
      <c r="AD873"/>
    </row>
    <row r="874">
      <c r="A874" t="s">
        <v>30</v>
      </c>
      <c r="B874" t="s">
        <v>189</v>
      </c>
      <c r="C874" t="s">
        <v>1819</v>
      </c>
      <c r="D874" t="s">
        <v>262</v>
      </c>
      <c r="E874" t="s">
        <v>263</v>
      </c>
      <c r="F874" s="2">
        <v>46275</v>
      </c>
      <c r="G874">
        <v>1</v>
      </c>
      <c r="H874" t="s">
        <v>1820</v>
      </c>
      <c r="I874" t="s">
        <v>1821</v>
      </c>
      <c r="J874" t="s">
        <v>782</v>
      </c>
      <c r="K874" t="s">
        <v>639</v>
      </c>
      <c r="L874" t="s">
        <v>1822</v>
      </c>
      <c r="M874">
        <v>78</v>
      </c>
      <c r="N874">
        <v>78</v>
      </c>
      <c r="O874" t="s">
        <v>84</v>
      </c>
      <c r="P874">
        <v>1</v>
      </c>
      <c r="Q874">
        <f>N874/P874</f>
      </c>
      <c r="R874" s="1">
        <v>1158</v>
      </c>
      <c r="S874" s="1">
        <v>1158</v>
      </c>
      <c r="T874">
        <f>IF(R874=S874,"相符","不相符")</f>
      </c>
      <c r="U874"/>
      <c r="V874">
        <f>P874*R874</f>
      </c>
      <c r="W874">
        <f>Q874*V874</f>
      </c>
      <c r="X874">
        <v>730</v>
      </c>
      <c r="Y874" t="s">
        <v>811</v>
      </c>
      <c r="Z874" t="s">
        <v>242</v>
      </c>
      <c r="AA874"/>
      <c r="AB874"/>
      <c r="AC874" t="s">
        <v>49</v>
      </c>
      <c r="AD874"/>
    </row>
    <row r="875">
      <c r="A875" t="s">
        <v>30</v>
      </c>
      <c r="B875" t="s">
        <v>233</v>
      </c>
      <c r="C875" t="s">
        <v>1823</v>
      </c>
      <c r="D875" t="s">
        <v>33</v>
      </c>
      <c r="E875" t="s">
        <v>34</v>
      </c>
      <c r="F875" s="2">
        <v>46272</v>
      </c>
      <c r="G875">
        <v>1</v>
      </c>
      <c r="H875" t="s">
        <v>1705</v>
      </c>
      <c r="I875" t="s">
        <v>1706</v>
      </c>
      <c r="J875" t="s">
        <v>1707</v>
      </c>
      <c r="K875" t="s">
        <v>238</v>
      </c>
      <c r="L875" t="s">
        <v>1708</v>
      </c>
      <c r="M875">
        <v>204</v>
      </c>
      <c r="N875">
        <v>204</v>
      </c>
      <c r="O875" t="s">
        <v>177</v>
      </c>
      <c r="P875">
        <v>12</v>
      </c>
      <c r="Q875">
        <f>N875/P875</f>
      </c>
      <c r="R875" s="1">
        <v>74</v>
      </c>
      <c r="S875" s="1">
        <v>74</v>
      </c>
      <c r="T875">
        <f>IF(R875=S875,"相符","不相符")</f>
      </c>
      <c r="U875"/>
      <c r="V875">
        <f>P875*R875</f>
      </c>
      <c r="W875">
        <f>Q875*V875</f>
      </c>
      <c r="X875">
        <v>1095</v>
      </c>
      <c r="Y875" t="s">
        <v>1422</v>
      </c>
      <c r="Z875" t="s">
        <v>42</v>
      </c>
      <c r="AA875"/>
      <c r="AB875"/>
      <c r="AC875" t="s">
        <v>243</v>
      </c>
      <c r="AD875"/>
    </row>
    <row r="876">
      <c r="A876" t="s">
        <v>30</v>
      </c>
      <c r="B876" t="s">
        <v>189</v>
      </c>
      <c r="C876" t="s">
        <v>1824</v>
      </c>
      <c r="D876" t="s">
        <v>478</v>
      </c>
      <c r="E876" t="s">
        <v>479</v>
      </c>
      <c r="F876" s="2">
        <v>46273</v>
      </c>
      <c r="G876">
        <v>1</v>
      </c>
      <c r="H876" t="s">
        <v>688</v>
      </c>
      <c r="I876" t="s">
        <v>689</v>
      </c>
      <c r="J876" t="s">
        <v>689</v>
      </c>
      <c r="K876" t="s">
        <v>639</v>
      </c>
      <c r="L876" t="s">
        <v>690</v>
      </c>
      <c r="M876">
        <v>40</v>
      </c>
      <c r="N876">
        <v>40</v>
      </c>
      <c r="O876" t="s">
        <v>197</v>
      </c>
      <c r="P876">
        <v>4</v>
      </c>
      <c r="Q876">
        <f>N876/P876</f>
      </c>
      <c r="R876" s="1">
        <v>447</v>
      </c>
      <c r="S876" s="1">
        <v>447</v>
      </c>
      <c r="T876">
        <f>IF(R876=S876,"相符","不相符")</f>
      </c>
      <c r="U876"/>
      <c r="V876">
        <f>P876*R876</f>
      </c>
      <c r="W876">
        <f>Q876*V876</f>
      </c>
      <c r="X876">
        <v>540</v>
      </c>
      <c r="Y876" t="s">
        <v>1825</v>
      </c>
      <c r="Z876" t="s">
        <v>1826</v>
      </c>
      <c r="AA876"/>
      <c r="AB876"/>
      <c r="AC876" t="s">
        <v>49</v>
      </c>
      <c r="AD876"/>
    </row>
    <row r="877">
      <c r="A877" t="s">
        <v>30</v>
      </c>
      <c r="B877" t="s">
        <v>189</v>
      </c>
      <c r="C877" t="s">
        <v>1827</v>
      </c>
      <c r="D877" t="s">
        <v>262</v>
      </c>
      <c r="E877" t="s">
        <v>263</v>
      </c>
      <c r="F877" s="2">
        <v>46273</v>
      </c>
      <c r="G877">
        <v>1</v>
      </c>
      <c r="H877" t="s">
        <v>612</v>
      </c>
      <c r="I877" t="s">
        <v>613</v>
      </c>
      <c r="J877" t="s">
        <v>614</v>
      </c>
      <c r="K877" t="s">
        <v>419</v>
      </c>
      <c r="L877" t="s">
        <v>615</v>
      </c>
      <c r="M877">
        <v>24</v>
      </c>
      <c r="N877">
        <v>24</v>
      </c>
      <c r="O877" t="s">
        <v>84</v>
      </c>
      <c r="P877">
        <v>1</v>
      </c>
      <c r="Q877">
        <f>N877/P877</f>
      </c>
      <c r="R877" s="1">
        <v>1231</v>
      </c>
      <c r="S877" s="1">
        <v>1231</v>
      </c>
      <c r="T877">
        <f>IF(R877=S877,"相符","不相符")</f>
      </c>
      <c r="U877"/>
      <c r="V877">
        <f>P877*R877</f>
      </c>
      <c r="W877">
        <f>Q877*V877</f>
      </c>
      <c r="X877">
        <v>1095</v>
      </c>
      <c r="Y877" t="s">
        <v>1176</v>
      </c>
      <c r="Z877" t="s">
        <v>1063</v>
      </c>
      <c r="AA877"/>
      <c r="AB877"/>
      <c r="AC877" t="s">
        <v>49</v>
      </c>
      <c r="AD877"/>
    </row>
    <row r="878">
      <c r="A878" t="s">
        <v>30</v>
      </c>
      <c r="B878" t="s">
        <v>189</v>
      </c>
      <c r="C878" t="s">
        <v>1827</v>
      </c>
      <c r="D878" t="s">
        <v>262</v>
      </c>
      <c r="E878" t="s">
        <v>263</v>
      </c>
      <c r="F878" s="2">
        <v>46273</v>
      </c>
      <c r="G878">
        <v>2</v>
      </c>
      <c r="H878" t="s">
        <v>617</v>
      </c>
      <c r="I878" t="s">
        <v>618</v>
      </c>
      <c r="J878" t="s">
        <v>619</v>
      </c>
      <c r="K878" t="s">
        <v>419</v>
      </c>
      <c r="L878" t="s">
        <v>620</v>
      </c>
      <c r="M878">
        <v>27</v>
      </c>
      <c r="N878">
        <v>27</v>
      </c>
      <c r="O878" t="s">
        <v>84</v>
      </c>
      <c r="P878">
        <v>1</v>
      </c>
      <c r="Q878">
        <f>N878/P878</f>
      </c>
      <c r="R878" s="1">
        <v>1231</v>
      </c>
      <c r="S878" s="1">
        <v>1231</v>
      </c>
      <c r="T878">
        <f>IF(R878=S878,"相符","不相符")</f>
      </c>
      <c r="U878"/>
      <c r="V878">
        <f>P878*R878</f>
      </c>
      <c r="W878">
        <f>Q878*V878</f>
      </c>
      <c r="X878">
        <v>1095</v>
      </c>
      <c r="Y878" t="s">
        <v>1176</v>
      </c>
      <c r="Z878" t="s">
        <v>1063</v>
      </c>
      <c r="AA878"/>
      <c r="AB878"/>
      <c r="AC878" t="s">
        <v>49</v>
      </c>
      <c r="AD878"/>
    </row>
    <row r="879">
      <c r="A879" t="s">
        <v>30</v>
      </c>
      <c r="B879" t="s">
        <v>189</v>
      </c>
      <c r="C879" t="s">
        <v>1827</v>
      </c>
      <c r="D879" t="s">
        <v>262</v>
      </c>
      <c r="E879" t="s">
        <v>263</v>
      </c>
      <c r="F879" s="2">
        <v>46273</v>
      </c>
      <c r="G879">
        <v>3</v>
      </c>
      <c r="H879" t="s">
        <v>1065</v>
      </c>
      <c r="I879" t="s">
        <v>1066</v>
      </c>
      <c r="J879" t="s">
        <v>461</v>
      </c>
      <c r="K879" t="s">
        <v>419</v>
      </c>
      <c r="L879" t="s">
        <v>1067</v>
      </c>
      <c r="M879">
        <v>120</v>
      </c>
      <c r="N879">
        <v>120</v>
      </c>
      <c r="O879" t="s">
        <v>84</v>
      </c>
      <c r="P879">
        <v>1</v>
      </c>
      <c r="Q879">
        <f>N879/P879</f>
      </c>
      <c r="R879" s="1">
        <v>1175</v>
      </c>
      <c r="S879" s="1">
        <v>1175</v>
      </c>
      <c r="T879">
        <f>IF(R879=S879,"相符","不相符")</f>
      </c>
      <c r="U879"/>
      <c r="V879">
        <f>P879*R879</f>
      </c>
      <c r="W879">
        <f>Q879*V879</f>
      </c>
      <c r="X879">
        <v>1095</v>
      </c>
      <c r="Y879" t="s">
        <v>1176</v>
      </c>
      <c r="Z879" t="s">
        <v>1063</v>
      </c>
      <c r="AA879"/>
      <c r="AB879"/>
      <c r="AC879" t="s">
        <v>49</v>
      </c>
      <c r="AD879"/>
    </row>
    <row r="880">
      <c r="A880" t="s">
        <v>30</v>
      </c>
      <c r="B880" t="s">
        <v>189</v>
      </c>
      <c r="C880" t="s">
        <v>1827</v>
      </c>
      <c r="D880" t="s">
        <v>262</v>
      </c>
      <c r="E880" t="s">
        <v>263</v>
      </c>
      <c r="F880" s="2">
        <v>46273</v>
      </c>
      <c r="G880">
        <v>4</v>
      </c>
      <c r="H880" t="s">
        <v>1068</v>
      </c>
      <c r="I880" t="s">
        <v>1069</v>
      </c>
      <c r="J880" t="s">
        <v>666</v>
      </c>
      <c r="K880" t="s">
        <v>419</v>
      </c>
      <c r="L880" t="s">
        <v>1070</v>
      </c>
      <c r="M880">
        <v>52</v>
      </c>
      <c r="N880">
        <v>52</v>
      </c>
      <c r="O880" t="s">
        <v>84</v>
      </c>
      <c r="P880">
        <v>1</v>
      </c>
      <c r="Q880">
        <f>N880/P880</f>
      </c>
      <c r="R880" s="1">
        <v>1175</v>
      </c>
      <c r="S880" s="1">
        <v>1175</v>
      </c>
      <c r="T880">
        <f>IF(R880=S880,"相符","不相符")</f>
      </c>
      <c r="U880"/>
      <c r="V880">
        <f>P880*R880</f>
      </c>
      <c r="W880">
        <f>Q880*V880</f>
      </c>
      <c r="X880">
        <v>1095</v>
      </c>
      <c r="Y880" t="s">
        <v>1176</v>
      </c>
      <c r="Z880" t="s">
        <v>1063</v>
      </c>
      <c r="AA880"/>
      <c r="AB880"/>
      <c r="AC880" t="s">
        <v>49</v>
      </c>
      <c r="AD880"/>
    </row>
    <row r="881">
      <c r="A881" t="s">
        <v>30</v>
      </c>
      <c r="B881" t="s">
        <v>189</v>
      </c>
      <c r="C881" t="s">
        <v>1827</v>
      </c>
      <c r="D881" t="s">
        <v>262</v>
      </c>
      <c r="E881" t="s">
        <v>263</v>
      </c>
      <c r="F881" s="2">
        <v>46273</v>
      </c>
      <c r="G881">
        <v>5</v>
      </c>
      <c r="H881" t="s">
        <v>1074</v>
      </c>
      <c r="I881" t="s">
        <v>1075</v>
      </c>
      <c r="J881" t="s">
        <v>649</v>
      </c>
      <c r="K881" t="s">
        <v>419</v>
      </c>
      <c r="L881" t="s">
        <v>1076</v>
      </c>
      <c r="M881">
        <v>108</v>
      </c>
      <c r="N881">
        <v>108</v>
      </c>
      <c r="O881" t="s">
        <v>84</v>
      </c>
      <c r="P881">
        <v>1</v>
      </c>
      <c r="Q881">
        <f>N881/P881</f>
      </c>
      <c r="R881" s="1">
        <v>1175</v>
      </c>
      <c r="S881" s="1">
        <v>1175</v>
      </c>
      <c r="T881">
        <f>IF(R881=S881,"相符","不相符")</f>
      </c>
      <c r="U881"/>
      <c r="V881">
        <f>P881*R881</f>
      </c>
      <c r="W881">
        <f>Q881*V881</f>
      </c>
      <c r="X881">
        <v>1095</v>
      </c>
      <c r="Y881" t="s">
        <v>1176</v>
      </c>
      <c r="Z881" t="s">
        <v>1063</v>
      </c>
      <c r="AA881"/>
      <c r="AB881"/>
      <c r="AC881" t="s">
        <v>49</v>
      </c>
      <c r="AD881"/>
    </row>
    <row r="882">
      <c r="A882" t="s">
        <v>30</v>
      </c>
      <c r="B882" t="s">
        <v>189</v>
      </c>
      <c r="C882" t="s">
        <v>1827</v>
      </c>
      <c r="D882" t="s">
        <v>262</v>
      </c>
      <c r="E882" t="s">
        <v>263</v>
      </c>
      <c r="F882" s="2">
        <v>46273</v>
      </c>
      <c r="G882">
        <v>6</v>
      </c>
      <c r="H882" t="s">
        <v>1178</v>
      </c>
      <c r="I882" t="s">
        <v>1179</v>
      </c>
      <c r="J882" t="s">
        <v>1180</v>
      </c>
      <c r="K882" t="s">
        <v>419</v>
      </c>
      <c r="L882" t="s">
        <v>1181</v>
      </c>
      <c r="M882">
        <v>17</v>
      </c>
      <c r="N882">
        <v>17</v>
      </c>
      <c r="O882" t="s">
        <v>84</v>
      </c>
      <c r="P882">
        <v>1</v>
      </c>
      <c r="Q882">
        <f>N882/P882</f>
      </c>
      <c r="R882" s="1">
        <v>1175</v>
      </c>
      <c r="S882" s="1">
        <v>1175</v>
      </c>
      <c r="T882">
        <f>IF(R882=S882,"相符","不相符")</f>
      </c>
      <c r="U882"/>
      <c r="V882">
        <f>P882*R882</f>
      </c>
      <c r="W882">
        <f>Q882*V882</f>
      </c>
      <c r="X882">
        <v>1095</v>
      </c>
      <c r="Y882" t="s">
        <v>1176</v>
      </c>
      <c r="Z882" t="s">
        <v>1063</v>
      </c>
      <c r="AA882"/>
      <c r="AB882"/>
      <c r="AC882" t="s">
        <v>49</v>
      </c>
      <c r="AD882"/>
    </row>
    <row r="883">
      <c r="A883" t="s">
        <v>30</v>
      </c>
      <c r="B883" t="s">
        <v>189</v>
      </c>
      <c r="C883" t="s">
        <v>1827</v>
      </c>
      <c r="D883" t="s">
        <v>262</v>
      </c>
      <c r="E883" t="s">
        <v>263</v>
      </c>
      <c r="F883" s="2">
        <v>46273</v>
      </c>
      <c r="G883">
        <v>7</v>
      </c>
      <c r="H883" t="s">
        <v>632</v>
      </c>
      <c r="I883" t="s">
        <v>633</v>
      </c>
      <c r="J883" t="s">
        <v>634</v>
      </c>
      <c r="K883" t="s">
        <v>419</v>
      </c>
      <c r="L883" t="s">
        <v>635</v>
      </c>
      <c r="M883">
        <v>24</v>
      </c>
      <c r="N883">
        <v>24</v>
      </c>
      <c r="O883" t="s">
        <v>84</v>
      </c>
      <c r="P883">
        <v>1</v>
      </c>
      <c r="Q883">
        <f>N883/P883</f>
      </c>
      <c r="R883" s="1">
        <v>1231</v>
      </c>
      <c r="S883" s="1">
        <v>1231</v>
      </c>
      <c r="T883">
        <f>IF(R883=S883,"相符","不相符")</f>
      </c>
      <c r="U883"/>
      <c r="V883">
        <f>P883*R883</f>
      </c>
      <c r="W883">
        <f>Q883*V883</f>
      </c>
      <c r="X883">
        <v>1095</v>
      </c>
      <c r="Y883" t="s">
        <v>1176</v>
      </c>
      <c r="Z883" t="s">
        <v>1063</v>
      </c>
      <c r="AA883"/>
      <c r="AB883"/>
      <c r="AC883" t="s">
        <v>49</v>
      </c>
      <c r="AD883"/>
    </row>
    <row r="884">
      <c r="A884" t="s">
        <v>30</v>
      </c>
      <c r="B884" t="s">
        <v>189</v>
      </c>
      <c r="C884" t="s">
        <v>1828</v>
      </c>
      <c r="D884" t="s">
        <v>567</v>
      </c>
      <c r="E884" t="s">
        <v>568</v>
      </c>
      <c r="F884" s="2">
        <v>46274</v>
      </c>
      <c r="G884">
        <v>1</v>
      </c>
      <c r="H884" t="s">
        <v>612</v>
      </c>
      <c r="I884" t="s">
        <v>613</v>
      </c>
      <c r="J884" t="s">
        <v>614</v>
      </c>
      <c r="K884" t="s">
        <v>419</v>
      </c>
      <c r="L884" t="s">
        <v>615</v>
      </c>
      <c r="M884">
        <v>7</v>
      </c>
      <c r="N884">
        <v>7</v>
      </c>
      <c r="O884" t="s">
        <v>84</v>
      </c>
      <c r="P884">
        <v>1</v>
      </c>
      <c r="Q884">
        <f>N884/P884</f>
      </c>
      <c r="R884" s="1">
        <v>1231</v>
      </c>
      <c r="S884" s="1">
        <v>1231</v>
      </c>
      <c r="T884">
        <f>IF(R884=S884,"相符","不相符")</f>
      </c>
      <c r="U884"/>
      <c r="V884">
        <f>P884*R884</f>
      </c>
      <c r="W884">
        <f>Q884*V884</f>
      </c>
      <c r="X884">
        <v>1095</v>
      </c>
      <c r="Y884" t="s">
        <v>1062</v>
      </c>
      <c r="Z884" t="s">
        <v>1063</v>
      </c>
      <c r="AA884"/>
      <c r="AB884"/>
      <c r="AC884" t="s">
        <v>49</v>
      </c>
      <c r="AD884"/>
    </row>
    <row r="885">
      <c r="A885" t="s">
        <v>30</v>
      </c>
      <c r="B885" t="s">
        <v>189</v>
      </c>
      <c r="C885" t="s">
        <v>1828</v>
      </c>
      <c r="D885" t="s">
        <v>567</v>
      </c>
      <c r="E885" t="s">
        <v>568</v>
      </c>
      <c r="F885" s="2">
        <v>46274</v>
      </c>
      <c r="G885">
        <v>2</v>
      </c>
      <c r="H885" t="s">
        <v>632</v>
      </c>
      <c r="I885" t="s">
        <v>633</v>
      </c>
      <c r="J885" t="s">
        <v>634</v>
      </c>
      <c r="K885" t="s">
        <v>419</v>
      </c>
      <c r="L885" t="s">
        <v>635</v>
      </c>
      <c r="M885">
        <v>11</v>
      </c>
      <c r="N885">
        <v>11</v>
      </c>
      <c r="O885" t="s">
        <v>84</v>
      </c>
      <c r="P885">
        <v>1</v>
      </c>
      <c r="Q885">
        <f>N885/P885</f>
      </c>
      <c r="R885" s="1">
        <v>1231</v>
      </c>
      <c r="S885" s="1">
        <v>1231</v>
      </c>
      <c r="T885">
        <f>IF(R885=S885,"相符","不相符")</f>
      </c>
      <c r="U885"/>
      <c r="V885">
        <f>P885*R885</f>
      </c>
      <c r="W885">
        <f>Q885*V885</f>
      </c>
      <c r="X885">
        <v>1095</v>
      </c>
      <c r="Y885" t="s">
        <v>1062</v>
      </c>
      <c r="Z885" t="s">
        <v>1063</v>
      </c>
      <c r="AA885"/>
      <c r="AB885"/>
      <c r="AC885" t="s">
        <v>49</v>
      </c>
      <c r="AD885"/>
    </row>
    <row r="886">
      <c r="A886" t="s">
        <v>30</v>
      </c>
      <c r="B886"/>
      <c r="C886" t="s">
        <v>1829</v>
      </c>
      <c r="D886" t="s">
        <v>191</v>
      </c>
      <c r="E886" t="s">
        <v>192</v>
      </c>
      <c r="F886" s="2">
        <v>46274</v>
      </c>
      <c r="G886">
        <v>1</v>
      </c>
      <c r="H886" t="s">
        <v>1830</v>
      </c>
      <c r="I886" t="s">
        <v>1831</v>
      </c>
      <c r="J886"/>
      <c r="K886"/>
      <c r="L886" t="s">
        <v>1832</v>
      </c>
      <c r="M886">
        <v>7840</v>
      </c>
      <c r="N886">
        <v>7840</v>
      </c>
      <c r="O886"/>
      <c r="P886">
        <v>0</v>
      </c>
      <c r="Q886">
        <f>N886/P886</f>
      </c>
      <c r="R886" s="1">
        <v>0</v>
      </c>
      <c r="S886" s="1">
        <v>0</v>
      </c>
      <c r="T886">
        <f>IF(R886=S886,"相符","不相符")</f>
      </c>
      <c r="U886"/>
      <c r="V886">
        <f>P886*R886</f>
      </c>
      <c r="W886">
        <f>Q886*V886</f>
      </c>
      <c r="X886">
        <v>0</v>
      </c>
      <c r="Y886" t="s">
        <v>989</v>
      </c>
      <c r="Z886" t="s">
        <v>1833</v>
      </c>
      <c r="AA886"/>
      <c r="AB886"/>
      <c r="AC886"/>
      <c r="AD886"/>
    </row>
    <row r="887">
      <c r="A887" t="s">
        <v>30</v>
      </c>
      <c r="B887" t="s">
        <v>233</v>
      </c>
      <c r="C887" t="s">
        <v>1834</v>
      </c>
      <c r="D887" t="s">
        <v>191</v>
      </c>
      <c r="E887" t="s">
        <v>192</v>
      </c>
      <c r="F887" s="2">
        <v>46275</v>
      </c>
      <c r="G887">
        <v>1</v>
      </c>
      <c r="H887" t="s">
        <v>1391</v>
      </c>
      <c r="I887" t="s">
        <v>1392</v>
      </c>
      <c r="J887" t="s">
        <v>1393</v>
      </c>
      <c r="K887" t="s">
        <v>238</v>
      </c>
      <c r="L887" t="s">
        <v>1394</v>
      </c>
      <c r="M887">
        <v>1728</v>
      </c>
      <c r="N887">
        <v>1728</v>
      </c>
      <c r="O887" t="s">
        <v>240</v>
      </c>
      <c r="P887">
        <v>12</v>
      </c>
      <c r="Q887">
        <f>N887/P887</f>
      </c>
      <c r="R887" s="1">
        <v>87</v>
      </c>
      <c r="S887" s="1">
        <v>87</v>
      </c>
      <c r="T887">
        <f>IF(R887=S887,"相符","不相符")</f>
      </c>
      <c r="U887"/>
      <c r="V887">
        <f>P887*R887</f>
      </c>
      <c r="W887">
        <f>Q887*V887</f>
      </c>
      <c r="X887">
        <v>1095</v>
      </c>
      <c r="Y887" t="s">
        <v>802</v>
      </c>
      <c r="Z887" t="s">
        <v>1835</v>
      </c>
      <c r="AA887"/>
      <c r="AB887"/>
      <c r="AC887" t="s">
        <v>243</v>
      </c>
      <c r="AD887"/>
    </row>
    <row r="888">
      <c r="A888" t="s">
        <v>30</v>
      </c>
      <c r="B888" t="s">
        <v>233</v>
      </c>
      <c r="C888" t="s">
        <v>1836</v>
      </c>
      <c r="D888" t="s">
        <v>191</v>
      </c>
      <c r="E888" t="s">
        <v>192</v>
      </c>
      <c r="F888" s="2">
        <v>46294</v>
      </c>
      <c r="G888">
        <v>1</v>
      </c>
      <c r="H888" t="s">
        <v>912</v>
      </c>
      <c r="I888" t="s">
        <v>913</v>
      </c>
      <c r="J888" t="s">
        <v>914</v>
      </c>
      <c r="K888" t="s">
        <v>238</v>
      </c>
      <c r="L888" t="s">
        <v>915</v>
      </c>
      <c r="M888">
        <v>336</v>
      </c>
      <c r="N888">
        <v>336</v>
      </c>
      <c r="O888" t="s">
        <v>40</v>
      </c>
      <c r="P888">
        <v>12</v>
      </c>
      <c r="Q888">
        <f>N888/P888</f>
      </c>
      <c r="R888" s="1">
        <v>56</v>
      </c>
      <c r="S888" s="1">
        <v>70</v>
      </c>
      <c r="T888">
        <f>IF(R888=S888,"相符","不相符")</f>
      </c>
      <c r="U888" t="s">
        <v>916</v>
      </c>
      <c r="V888">
        <f>P888*R888</f>
      </c>
      <c r="W888">
        <f>Q888*V888</f>
      </c>
      <c r="X888">
        <v>540</v>
      </c>
      <c r="Y888" t="s">
        <v>1837</v>
      </c>
      <c r="Z888" t="s">
        <v>803</v>
      </c>
      <c r="AA888"/>
      <c r="AB888"/>
      <c r="AC888" t="s">
        <v>243</v>
      </c>
      <c r="AD888"/>
    </row>
    <row r="889">
      <c r="A889" t="s">
        <v>30</v>
      </c>
      <c r="B889"/>
      <c r="C889" t="s">
        <v>1838</v>
      </c>
      <c r="D889" t="s">
        <v>191</v>
      </c>
      <c r="E889" t="s">
        <v>192</v>
      </c>
      <c r="F889" s="2">
        <v>46294</v>
      </c>
      <c r="G889">
        <v>1</v>
      </c>
      <c r="H889" t="s">
        <v>889</v>
      </c>
      <c r="I889" t="s">
        <v>890</v>
      </c>
      <c r="J889"/>
      <c r="K889"/>
      <c r="L889" t="s">
        <v>891</v>
      </c>
      <c r="M889">
        <v>36</v>
      </c>
      <c r="N889">
        <v>36</v>
      </c>
      <c r="O889"/>
      <c r="P889">
        <v>0</v>
      </c>
      <c r="Q889">
        <f>N889/P889</f>
      </c>
      <c r="R889" s="1">
        <v>70</v>
      </c>
      <c r="S889" s="1">
        <v>0</v>
      </c>
      <c r="T889">
        <f>IF(R889=S889,"相符","不相符")</f>
      </c>
      <c r="U889"/>
      <c r="V889">
        <f>P889*R889</f>
      </c>
      <c r="W889">
        <f>Q889*V889</f>
      </c>
      <c r="X889">
        <v>0</v>
      </c>
      <c r="Y889" t="s">
        <v>1839</v>
      </c>
      <c r="Z889" t="s">
        <v>803</v>
      </c>
      <c r="AA889"/>
      <c r="AB889"/>
      <c r="AC889"/>
      <c r="AD889"/>
    </row>
    <row r="890">
      <c r="A890" t="s">
        <v>30</v>
      </c>
      <c r="B890" t="s">
        <v>254</v>
      </c>
      <c r="C890" t="s">
        <v>1840</v>
      </c>
      <c r="D890" t="s">
        <v>567</v>
      </c>
      <c r="E890" t="s">
        <v>568</v>
      </c>
      <c r="F890" s="2">
        <v>46279</v>
      </c>
      <c r="G890">
        <v>1</v>
      </c>
      <c r="H890" t="s">
        <v>858</v>
      </c>
      <c r="I890" t="s">
        <v>859</v>
      </c>
      <c r="J890" t="s">
        <v>845</v>
      </c>
      <c r="K890" t="s">
        <v>491</v>
      </c>
      <c r="L890" t="s">
        <v>860</v>
      </c>
      <c r="M890">
        <v>6</v>
      </c>
      <c r="N890">
        <v>6</v>
      </c>
      <c r="O890" t="s">
        <v>84</v>
      </c>
      <c r="P890">
        <v>1</v>
      </c>
      <c r="Q890">
        <f>N890/P890</f>
      </c>
      <c r="R890" s="1">
        <v>683</v>
      </c>
      <c r="S890" s="1">
        <v>683</v>
      </c>
      <c r="T890">
        <f>IF(R890=S890,"相符","不相符")</f>
      </c>
      <c r="U890" t="s">
        <v>861</v>
      </c>
      <c r="V890">
        <f>P890*R890</f>
      </c>
      <c r="W890">
        <f>Q890*V890</f>
      </c>
      <c r="X890">
        <v>1825</v>
      </c>
      <c r="Y890" t="s">
        <v>1407</v>
      </c>
      <c r="Z890" t="s">
        <v>803</v>
      </c>
      <c r="AA890"/>
      <c r="AB890"/>
      <c r="AC890" t="s">
        <v>243</v>
      </c>
      <c r="AD890"/>
    </row>
    <row r="891">
      <c r="A891" t="s">
        <v>30</v>
      </c>
      <c r="B891" t="s">
        <v>254</v>
      </c>
      <c r="C891" t="s">
        <v>1840</v>
      </c>
      <c r="D891" t="s">
        <v>567</v>
      </c>
      <c r="E891" t="s">
        <v>568</v>
      </c>
      <c r="F891" s="2">
        <v>46279</v>
      </c>
      <c r="G891">
        <v>2</v>
      </c>
      <c r="H891" t="s">
        <v>862</v>
      </c>
      <c r="I891" t="s">
        <v>863</v>
      </c>
      <c r="J891" t="s">
        <v>864</v>
      </c>
      <c r="K891" t="s">
        <v>491</v>
      </c>
      <c r="L891" t="s">
        <v>865</v>
      </c>
      <c r="M891">
        <v>12</v>
      </c>
      <c r="N891">
        <v>12</v>
      </c>
      <c r="O891" t="s">
        <v>84</v>
      </c>
      <c r="P891">
        <v>1</v>
      </c>
      <c r="Q891">
        <f>N891/P891</f>
      </c>
      <c r="R891" s="1">
        <v>1097</v>
      </c>
      <c r="S891" s="1">
        <v>1097</v>
      </c>
      <c r="T891">
        <f>IF(R891=S891,"相符","不相符")</f>
      </c>
      <c r="U891" t="s">
        <v>866</v>
      </c>
      <c r="V891">
        <f>P891*R891</f>
      </c>
      <c r="W891">
        <f>Q891*V891</f>
      </c>
      <c r="X891">
        <v>1825</v>
      </c>
      <c r="Y891" t="s">
        <v>1407</v>
      </c>
      <c r="Z891" t="s">
        <v>803</v>
      </c>
      <c r="AA891"/>
      <c r="AB891"/>
      <c r="AC891" t="s">
        <v>243</v>
      </c>
      <c r="AD891"/>
    </row>
    <row r="892">
      <c r="A892" t="s">
        <v>30</v>
      </c>
      <c r="B892" t="s">
        <v>254</v>
      </c>
      <c r="C892" t="s">
        <v>1840</v>
      </c>
      <c r="D892" t="s">
        <v>567</v>
      </c>
      <c r="E892" t="s">
        <v>568</v>
      </c>
      <c r="F892" s="2">
        <v>46279</v>
      </c>
      <c r="G892">
        <v>3</v>
      </c>
      <c r="H892" t="s">
        <v>1365</v>
      </c>
      <c r="I892" t="s">
        <v>1366</v>
      </c>
      <c r="J892" t="s">
        <v>879</v>
      </c>
      <c r="K892" t="s">
        <v>491</v>
      </c>
      <c r="L892" t="s">
        <v>1367</v>
      </c>
      <c r="M892">
        <v>11</v>
      </c>
      <c r="N892">
        <v>11</v>
      </c>
      <c r="O892" t="s">
        <v>84</v>
      </c>
      <c r="P892">
        <v>1</v>
      </c>
      <c r="Q892">
        <f>N892/P892</f>
      </c>
      <c r="R892" s="1">
        <v>1100</v>
      </c>
      <c r="S892" s="1">
        <v>1100</v>
      </c>
      <c r="T892">
        <f>IF(R892=S892,"相符","不相符")</f>
      </c>
      <c r="U892" t="s">
        <v>879</v>
      </c>
      <c r="V892">
        <f>P892*R892</f>
      </c>
      <c r="W892">
        <f>Q892*V892</f>
      </c>
      <c r="X892">
        <v>1825</v>
      </c>
      <c r="Y892" t="s">
        <v>1407</v>
      </c>
      <c r="Z892" t="s">
        <v>803</v>
      </c>
      <c r="AA892"/>
      <c r="AB892"/>
      <c r="AC892" t="s">
        <v>243</v>
      </c>
      <c r="AD892"/>
    </row>
    <row r="893">
      <c r="A893" t="s">
        <v>30</v>
      </c>
      <c r="B893" t="s">
        <v>254</v>
      </c>
      <c r="C893" t="s">
        <v>1841</v>
      </c>
      <c r="D893" t="s">
        <v>464</v>
      </c>
      <c r="E893" t="s">
        <v>465</v>
      </c>
      <c r="F893" s="2">
        <v>46274</v>
      </c>
      <c r="G893">
        <v>1</v>
      </c>
      <c r="H893" t="s">
        <v>843</v>
      </c>
      <c r="I893" t="s">
        <v>844</v>
      </c>
      <c r="J893" t="s">
        <v>845</v>
      </c>
      <c r="K893" t="s">
        <v>491</v>
      </c>
      <c r="L893" t="s">
        <v>846</v>
      </c>
      <c r="M893">
        <v>18</v>
      </c>
      <c r="N893">
        <v>18</v>
      </c>
      <c r="O893" t="s">
        <v>197</v>
      </c>
      <c r="P893">
        <v>3</v>
      </c>
      <c r="Q893">
        <f>N893/P893</f>
      </c>
      <c r="R893" s="1">
        <v>228</v>
      </c>
      <c r="S893" s="1">
        <v>228</v>
      </c>
      <c r="T893">
        <f>IF(R893=S893,"相符","不相符")</f>
      </c>
      <c r="U893" t="s">
        <v>847</v>
      </c>
      <c r="V893">
        <f>P893*R893</f>
      </c>
      <c r="W893">
        <f>Q893*V893</f>
      </c>
      <c r="X893">
        <v>1825</v>
      </c>
      <c r="Y893" t="s">
        <v>991</v>
      </c>
      <c r="Z893" t="s">
        <v>803</v>
      </c>
      <c r="AA893"/>
      <c r="AB893"/>
      <c r="AC893" t="s">
        <v>243</v>
      </c>
      <c r="AD893"/>
    </row>
    <row r="894">
      <c r="A894" t="s">
        <v>30</v>
      </c>
      <c r="B894" t="s">
        <v>254</v>
      </c>
      <c r="C894" t="s">
        <v>1842</v>
      </c>
      <c r="D894" t="s">
        <v>262</v>
      </c>
      <c r="E894" t="s">
        <v>263</v>
      </c>
      <c r="F894" s="2">
        <v>46274</v>
      </c>
      <c r="G894">
        <v>1</v>
      </c>
      <c r="H894" t="s">
        <v>843</v>
      </c>
      <c r="I894" t="s">
        <v>844</v>
      </c>
      <c r="J894" t="s">
        <v>845</v>
      </c>
      <c r="K894" t="s">
        <v>491</v>
      </c>
      <c r="L894" t="s">
        <v>846</v>
      </c>
      <c r="M894">
        <v>144</v>
      </c>
      <c r="N894">
        <v>144</v>
      </c>
      <c r="O894" t="s">
        <v>197</v>
      </c>
      <c r="P894">
        <v>3</v>
      </c>
      <c r="Q894">
        <f>N894/P894</f>
      </c>
      <c r="R894" s="1">
        <v>228</v>
      </c>
      <c r="S894" s="1">
        <v>228</v>
      </c>
      <c r="T894">
        <f>IF(R894=S894,"相符","不相符")</f>
      </c>
      <c r="U894" t="s">
        <v>847</v>
      </c>
      <c r="V894">
        <f>P894*R894</f>
      </c>
      <c r="W894">
        <f>Q894*V894</f>
      </c>
      <c r="X894">
        <v>1825</v>
      </c>
      <c r="Y894" t="s">
        <v>991</v>
      </c>
      <c r="Z894" t="s">
        <v>803</v>
      </c>
      <c r="AA894"/>
      <c r="AB894"/>
      <c r="AC894" t="s">
        <v>243</v>
      </c>
      <c r="AD894"/>
    </row>
    <row r="895">
      <c r="A895" t="s">
        <v>30</v>
      </c>
      <c r="B895" t="s">
        <v>254</v>
      </c>
      <c r="C895" t="s">
        <v>1842</v>
      </c>
      <c r="D895" t="s">
        <v>262</v>
      </c>
      <c r="E895" t="s">
        <v>263</v>
      </c>
      <c r="F895" s="2">
        <v>46274</v>
      </c>
      <c r="G895">
        <v>2</v>
      </c>
      <c r="H895" t="s">
        <v>858</v>
      </c>
      <c r="I895" t="s">
        <v>859</v>
      </c>
      <c r="J895" t="s">
        <v>845</v>
      </c>
      <c r="K895" t="s">
        <v>491</v>
      </c>
      <c r="L895" t="s">
        <v>860</v>
      </c>
      <c r="M895">
        <v>60</v>
      </c>
      <c r="N895">
        <v>60</v>
      </c>
      <c r="O895" t="s">
        <v>84</v>
      </c>
      <c r="P895">
        <v>1</v>
      </c>
      <c r="Q895">
        <f>N895/P895</f>
      </c>
      <c r="R895" s="1">
        <v>683</v>
      </c>
      <c r="S895" s="1">
        <v>683</v>
      </c>
      <c r="T895">
        <f>IF(R895=S895,"相符","不相符")</f>
      </c>
      <c r="U895" t="s">
        <v>861</v>
      </c>
      <c r="V895">
        <f>P895*R895</f>
      </c>
      <c r="W895">
        <f>Q895*V895</f>
      </c>
      <c r="X895">
        <v>1825</v>
      </c>
      <c r="Y895" t="s">
        <v>991</v>
      </c>
      <c r="Z895" t="s">
        <v>803</v>
      </c>
      <c r="AA895"/>
      <c r="AB895"/>
      <c r="AC895" t="s">
        <v>243</v>
      </c>
      <c r="AD895"/>
    </row>
    <row r="896">
      <c r="A896" t="s">
        <v>30</v>
      </c>
      <c r="B896" t="s">
        <v>254</v>
      </c>
      <c r="C896" t="s">
        <v>1842</v>
      </c>
      <c r="D896" t="s">
        <v>262</v>
      </c>
      <c r="E896" t="s">
        <v>263</v>
      </c>
      <c r="F896" s="2">
        <v>46274</v>
      </c>
      <c r="G896">
        <v>3</v>
      </c>
      <c r="H896" t="s">
        <v>1365</v>
      </c>
      <c r="I896" t="s">
        <v>1366</v>
      </c>
      <c r="J896" t="s">
        <v>879</v>
      </c>
      <c r="K896" t="s">
        <v>491</v>
      </c>
      <c r="L896" t="s">
        <v>1367</v>
      </c>
      <c r="M896">
        <v>19</v>
      </c>
      <c r="N896">
        <v>19</v>
      </c>
      <c r="O896" t="s">
        <v>84</v>
      </c>
      <c r="P896">
        <v>1</v>
      </c>
      <c r="Q896">
        <f>N896/P896</f>
      </c>
      <c r="R896" s="1">
        <v>1100</v>
      </c>
      <c r="S896" s="1">
        <v>1100</v>
      </c>
      <c r="T896">
        <f>IF(R896=S896,"相符","不相符")</f>
      </c>
      <c r="U896" t="s">
        <v>879</v>
      </c>
      <c r="V896">
        <f>P896*R896</f>
      </c>
      <c r="W896">
        <f>Q896*V896</f>
      </c>
      <c r="X896">
        <v>1825</v>
      </c>
      <c r="Y896" t="s">
        <v>991</v>
      </c>
      <c r="Z896" t="s">
        <v>803</v>
      </c>
      <c r="AA896"/>
      <c r="AB896"/>
      <c r="AC896" t="s">
        <v>243</v>
      </c>
      <c r="AD896"/>
    </row>
    <row r="897">
      <c r="A897" t="s">
        <v>30</v>
      </c>
      <c r="B897" t="s">
        <v>31</v>
      </c>
      <c r="C897" t="s">
        <v>1843</v>
      </c>
      <c r="D897" t="s">
        <v>205</v>
      </c>
      <c r="E897" t="s">
        <v>206</v>
      </c>
      <c r="F897" s="2">
        <v>46266</v>
      </c>
      <c r="G897">
        <v>1</v>
      </c>
      <c r="H897" t="s">
        <v>1277</v>
      </c>
      <c r="I897" t="s">
        <v>1278</v>
      </c>
      <c r="J897" t="s">
        <v>1279</v>
      </c>
      <c r="K897" t="s">
        <v>1280</v>
      </c>
      <c r="L897" t="s">
        <v>1281</v>
      </c>
      <c r="M897">
        <v>1</v>
      </c>
      <c r="N897">
        <v>1</v>
      </c>
      <c r="O897" t="s">
        <v>84</v>
      </c>
      <c r="P897">
        <v>1</v>
      </c>
      <c r="Q897">
        <f>N897/P897</f>
      </c>
      <c r="R897" s="1">
        <v>6727</v>
      </c>
      <c r="S897" s="1">
        <v>6727</v>
      </c>
      <c r="T897">
        <f>IF(R897=S897,"相符","不相符")</f>
      </c>
      <c r="U897" t="s">
        <v>1279</v>
      </c>
      <c r="V897">
        <f>P897*R897</f>
      </c>
      <c r="W897">
        <f>Q897*V897</f>
      </c>
      <c r="X897">
        <v>365</v>
      </c>
      <c r="Y897" t="s">
        <v>1844</v>
      </c>
      <c r="Z897" t="s">
        <v>485</v>
      </c>
      <c r="AA897"/>
      <c r="AB897"/>
      <c r="AC897" t="s">
        <v>43</v>
      </c>
      <c r="AD897"/>
    </row>
    <row r="898">
      <c r="A898" t="s">
        <v>30</v>
      </c>
      <c r="B898" t="s">
        <v>254</v>
      </c>
      <c r="C898" t="s">
        <v>1845</v>
      </c>
      <c r="D898" t="s">
        <v>205</v>
      </c>
      <c r="E898" t="s">
        <v>206</v>
      </c>
      <c r="F898" s="2">
        <v>46266</v>
      </c>
      <c r="G898">
        <v>1</v>
      </c>
      <c r="H898" t="s">
        <v>587</v>
      </c>
      <c r="I898" t="s">
        <v>588</v>
      </c>
      <c r="J898" t="s">
        <v>589</v>
      </c>
      <c r="K898" t="s">
        <v>491</v>
      </c>
      <c r="L898" t="s">
        <v>590</v>
      </c>
      <c r="M898">
        <v>4</v>
      </c>
      <c r="N898">
        <v>4</v>
      </c>
      <c r="O898" t="s">
        <v>84</v>
      </c>
      <c r="P898">
        <v>1</v>
      </c>
      <c r="Q898">
        <f>N898/P898</f>
      </c>
      <c r="R898" s="1">
        <v>992</v>
      </c>
      <c r="S898" s="1">
        <v>992</v>
      </c>
      <c r="T898">
        <f>IF(R898=S898,"相符","不相符")</f>
      </c>
      <c r="U898" t="s">
        <v>578</v>
      </c>
      <c r="V898">
        <f>P898*R898</f>
      </c>
      <c r="W898">
        <f>Q898*V898</f>
      </c>
      <c r="X898">
        <v>1825</v>
      </c>
      <c r="Y898" t="s">
        <v>1784</v>
      </c>
      <c r="Z898" t="s">
        <v>485</v>
      </c>
      <c r="AA898"/>
      <c r="AB898"/>
      <c r="AC898" t="s">
        <v>243</v>
      </c>
      <c r="AD898"/>
    </row>
    <row r="899">
      <c r="A899" t="s">
        <v>30</v>
      </c>
      <c r="B899" t="s">
        <v>254</v>
      </c>
      <c r="C899" t="s">
        <v>1846</v>
      </c>
      <c r="D899" t="s">
        <v>464</v>
      </c>
      <c r="E899" t="s">
        <v>465</v>
      </c>
      <c r="F899" s="2">
        <v>46286</v>
      </c>
      <c r="G899">
        <v>1</v>
      </c>
      <c r="H899" t="s">
        <v>1779</v>
      </c>
      <c r="I899" t="s">
        <v>1780</v>
      </c>
      <c r="J899" t="s">
        <v>1781</v>
      </c>
      <c r="K899" t="s">
        <v>491</v>
      </c>
      <c r="L899" t="s">
        <v>1782</v>
      </c>
      <c r="M899">
        <v>18</v>
      </c>
      <c r="N899">
        <v>18</v>
      </c>
      <c r="O899" t="s">
        <v>84</v>
      </c>
      <c r="P899">
        <v>1</v>
      </c>
      <c r="Q899">
        <f>N899/P899</f>
      </c>
      <c r="R899" s="1">
        <v>1152</v>
      </c>
      <c r="S899" s="1">
        <v>1152</v>
      </c>
      <c r="T899">
        <f>IF(R899=S899,"相符","不相符")</f>
      </c>
      <c r="U899"/>
      <c r="V899">
        <f>P899*R899</f>
      </c>
      <c r="W899">
        <f>Q899*V899</f>
      </c>
      <c r="X899">
        <v>1095</v>
      </c>
      <c r="Y899" t="s">
        <v>625</v>
      </c>
      <c r="Z899" t="s">
        <v>1389</v>
      </c>
      <c r="AA899"/>
      <c r="AB899"/>
      <c r="AC899" t="s">
        <v>243</v>
      </c>
      <c r="AD899"/>
    </row>
    <row r="900">
      <c r="A900" t="s">
        <v>30</v>
      </c>
      <c r="B900" t="s">
        <v>189</v>
      </c>
      <c r="C900" t="s">
        <v>1847</v>
      </c>
      <c r="D900" t="s">
        <v>478</v>
      </c>
      <c r="E900" t="s">
        <v>479</v>
      </c>
      <c r="F900" s="2">
        <v>46286</v>
      </c>
      <c r="G900">
        <v>1</v>
      </c>
      <c r="H900" t="s">
        <v>1523</v>
      </c>
      <c r="I900" t="s">
        <v>1524</v>
      </c>
      <c r="J900" t="s">
        <v>1524</v>
      </c>
      <c r="K900" t="s">
        <v>195</v>
      </c>
      <c r="L900" t="s">
        <v>1525</v>
      </c>
      <c r="M900">
        <v>924</v>
      </c>
      <c r="N900">
        <v>924</v>
      </c>
      <c r="O900" t="s">
        <v>197</v>
      </c>
      <c r="P900">
        <v>24</v>
      </c>
      <c r="Q900">
        <f>N900/P900</f>
      </c>
      <c r="R900" s="1">
        <v>47</v>
      </c>
      <c r="S900" s="1">
        <v>47</v>
      </c>
      <c r="T900">
        <f>IF(R900=S900,"相符","不相符")</f>
      </c>
      <c r="U900"/>
      <c r="V900">
        <f>P900*R900</f>
      </c>
      <c r="W900">
        <f>Q900*V900</f>
      </c>
      <c r="X900">
        <v>1095</v>
      </c>
      <c r="Y900" t="s">
        <v>616</v>
      </c>
      <c r="Z900" t="s">
        <v>1848</v>
      </c>
      <c r="AA900"/>
      <c r="AB900"/>
      <c r="AC900" t="s">
        <v>49</v>
      </c>
      <c r="AD900"/>
    </row>
    <row r="901">
      <c r="A901" t="s">
        <v>30</v>
      </c>
      <c r="B901" t="s">
        <v>254</v>
      </c>
      <c r="C901" t="s">
        <v>1849</v>
      </c>
      <c r="D901" t="s">
        <v>262</v>
      </c>
      <c r="E901" t="s">
        <v>263</v>
      </c>
      <c r="F901" s="2">
        <v>46287</v>
      </c>
      <c r="G901">
        <v>1</v>
      </c>
      <c r="H901" t="s">
        <v>264</v>
      </c>
      <c r="I901" t="s">
        <v>265</v>
      </c>
      <c r="J901" t="s">
        <v>266</v>
      </c>
      <c r="K901" t="s">
        <v>258</v>
      </c>
      <c r="L901" t="s">
        <v>267</v>
      </c>
      <c r="M901">
        <v>2779</v>
      </c>
      <c r="N901">
        <v>2779</v>
      </c>
      <c r="O901" t="s">
        <v>197</v>
      </c>
      <c r="P901">
        <v>7</v>
      </c>
      <c r="Q901">
        <f>N901/P901</f>
      </c>
      <c r="R901" s="1">
        <v>92</v>
      </c>
      <c r="S901" s="1">
        <v>92</v>
      </c>
      <c r="T901">
        <f>IF(R901=S901,"相符","不相符")</f>
      </c>
      <c r="U901" t="s">
        <v>268</v>
      </c>
      <c r="V901">
        <f>P901*R901</f>
      </c>
      <c r="W901">
        <f>Q901*V901</f>
      </c>
      <c r="X901">
        <v>1825</v>
      </c>
      <c r="Y901" t="s">
        <v>840</v>
      </c>
      <c r="Z901" t="s">
        <v>838</v>
      </c>
      <c r="AA901"/>
      <c r="AB901"/>
      <c r="AC901" t="s">
        <v>243</v>
      </c>
      <c r="AD901"/>
    </row>
    <row r="902">
      <c r="A902" t="s">
        <v>30</v>
      </c>
      <c r="B902" t="s">
        <v>189</v>
      </c>
      <c r="C902" t="s">
        <v>1850</v>
      </c>
      <c r="D902" t="s">
        <v>464</v>
      </c>
      <c r="E902" t="s">
        <v>465</v>
      </c>
      <c r="F902" s="2">
        <v>46267</v>
      </c>
      <c r="G902">
        <v>1</v>
      </c>
      <c r="H902" t="s">
        <v>617</v>
      </c>
      <c r="I902" t="s">
        <v>618</v>
      </c>
      <c r="J902" t="s">
        <v>619</v>
      </c>
      <c r="K902" t="s">
        <v>419</v>
      </c>
      <c r="L902" t="s">
        <v>620</v>
      </c>
      <c r="M902">
        <v>15</v>
      </c>
      <c r="N902">
        <v>15</v>
      </c>
      <c r="O902" t="s">
        <v>84</v>
      </c>
      <c r="P902">
        <v>1</v>
      </c>
      <c r="Q902">
        <f>N902/P902</f>
      </c>
      <c r="R902" s="1">
        <v>1231</v>
      </c>
      <c r="S902" s="1">
        <v>1231</v>
      </c>
      <c r="T902">
        <f>IF(R902=S902,"相符","不相符")</f>
      </c>
      <c r="U902"/>
      <c r="V902">
        <f>P902*R902</f>
      </c>
      <c r="W902">
        <f>Q902*V902</f>
      </c>
      <c r="X902">
        <v>1095</v>
      </c>
      <c r="Y902" t="s">
        <v>1592</v>
      </c>
      <c r="Z902" t="s">
        <v>1432</v>
      </c>
      <c r="AA902"/>
      <c r="AB902"/>
      <c r="AC902" t="s">
        <v>49</v>
      </c>
      <c r="AD902"/>
    </row>
    <row r="903">
      <c r="A903" t="s">
        <v>30</v>
      </c>
      <c r="B903" t="s">
        <v>189</v>
      </c>
      <c r="C903" t="s">
        <v>1850</v>
      </c>
      <c r="D903" t="s">
        <v>464</v>
      </c>
      <c r="E903" t="s">
        <v>465</v>
      </c>
      <c r="F903" s="2">
        <v>46267</v>
      </c>
      <c r="G903">
        <v>2</v>
      </c>
      <c r="H903" t="s">
        <v>1068</v>
      </c>
      <c r="I903" t="s">
        <v>1069</v>
      </c>
      <c r="J903" t="s">
        <v>666</v>
      </c>
      <c r="K903" t="s">
        <v>419</v>
      </c>
      <c r="L903" t="s">
        <v>1070</v>
      </c>
      <c r="M903">
        <v>15</v>
      </c>
      <c r="N903">
        <v>15</v>
      </c>
      <c r="O903" t="s">
        <v>84</v>
      </c>
      <c r="P903">
        <v>1</v>
      </c>
      <c r="Q903">
        <f>N903/P903</f>
      </c>
      <c r="R903" s="1">
        <v>1175</v>
      </c>
      <c r="S903" s="1">
        <v>1175</v>
      </c>
      <c r="T903">
        <f>IF(R903=S903,"相符","不相符")</f>
      </c>
      <c r="U903"/>
      <c r="V903">
        <f>P903*R903</f>
      </c>
      <c r="W903">
        <f>Q903*V903</f>
      </c>
      <c r="X903">
        <v>1095</v>
      </c>
      <c r="Y903" t="s">
        <v>1592</v>
      </c>
      <c r="Z903" t="s">
        <v>1432</v>
      </c>
      <c r="AA903"/>
      <c r="AB903"/>
      <c r="AC903" t="s">
        <v>49</v>
      </c>
      <c r="AD903"/>
    </row>
    <row r="904">
      <c r="A904" t="s">
        <v>30</v>
      </c>
      <c r="B904" t="s">
        <v>189</v>
      </c>
      <c r="C904" t="s">
        <v>1850</v>
      </c>
      <c r="D904" t="s">
        <v>464</v>
      </c>
      <c r="E904" t="s">
        <v>465</v>
      </c>
      <c r="F904" s="2">
        <v>46267</v>
      </c>
      <c r="G904">
        <v>3</v>
      </c>
      <c r="H904" t="s">
        <v>1074</v>
      </c>
      <c r="I904" t="s">
        <v>1075</v>
      </c>
      <c r="J904" t="s">
        <v>649</v>
      </c>
      <c r="K904" t="s">
        <v>419</v>
      </c>
      <c r="L904" t="s">
        <v>1076</v>
      </c>
      <c r="M904">
        <v>10</v>
      </c>
      <c r="N904">
        <v>10</v>
      </c>
      <c r="O904" t="s">
        <v>84</v>
      </c>
      <c r="P904">
        <v>1</v>
      </c>
      <c r="Q904">
        <f>N904/P904</f>
      </c>
      <c r="R904" s="1">
        <v>1175</v>
      </c>
      <c r="S904" s="1">
        <v>1175</v>
      </c>
      <c r="T904">
        <f>IF(R904=S904,"相符","不相符")</f>
      </c>
      <c r="U904"/>
      <c r="V904">
        <f>P904*R904</f>
      </c>
      <c r="W904">
        <f>Q904*V904</f>
      </c>
      <c r="X904">
        <v>1095</v>
      </c>
      <c r="Y904" t="s">
        <v>1592</v>
      </c>
      <c r="Z904" t="s">
        <v>1432</v>
      </c>
      <c r="AA904"/>
      <c r="AB904"/>
      <c r="AC904" t="s">
        <v>49</v>
      </c>
      <c r="AD904"/>
    </row>
    <row r="905">
      <c r="A905" t="s">
        <v>30</v>
      </c>
      <c r="B905" t="s">
        <v>189</v>
      </c>
      <c r="C905" t="s">
        <v>1850</v>
      </c>
      <c r="D905" t="s">
        <v>464</v>
      </c>
      <c r="E905" t="s">
        <v>465</v>
      </c>
      <c r="F905" s="2">
        <v>46267</v>
      </c>
      <c r="G905">
        <v>4</v>
      </c>
      <c r="H905" t="s">
        <v>1796</v>
      </c>
      <c r="I905" t="s">
        <v>1797</v>
      </c>
      <c r="J905" t="s">
        <v>1797</v>
      </c>
      <c r="K905" t="s">
        <v>195</v>
      </c>
      <c r="L905" t="s">
        <v>1798</v>
      </c>
      <c r="M905">
        <v>10</v>
      </c>
      <c r="N905">
        <v>10</v>
      </c>
      <c r="O905" t="s">
        <v>683</v>
      </c>
      <c r="P905">
        <v>1</v>
      </c>
      <c r="Q905">
        <f>N905/P905</f>
      </c>
      <c r="R905" s="1">
        <v>883</v>
      </c>
      <c r="S905" s="1">
        <v>883</v>
      </c>
      <c r="T905">
        <f>IF(R905=S905,"相符","不相符")</f>
      </c>
      <c r="U905"/>
      <c r="V905">
        <f>P905*R905</f>
      </c>
      <c r="W905">
        <f>Q905*V905</f>
      </c>
      <c r="X905">
        <v>1095</v>
      </c>
      <c r="Y905" t="s">
        <v>1592</v>
      </c>
      <c r="Z905" t="s">
        <v>1432</v>
      </c>
      <c r="AA905"/>
      <c r="AB905"/>
      <c r="AC905" t="s">
        <v>49</v>
      </c>
      <c r="AD905"/>
    </row>
    <row r="906">
      <c r="A906" t="s">
        <v>30</v>
      </c>
      <c r="B906" t="s">
        <v>189</v>
      </c>
      <c r="C906" t="s">
        <v>1851</v>
      </c>
      <c r="D906" t="s">
        <v>567</v>
      </c>
      <c r="E906" t="s">
        <v>568</v>
      </c>
      <c r="F906" s="2">
        <v>46267</v>
      </c>
      <c r="G906">
        <v>1</v>
      </c>
      <c r="H906" t="s">
        <v>1178</v>
      </c>
      <c r="I906" t="s">
        <v>1179</v>
      </c>
      <c r="J906" t="s">
        <v>1180</v>
      </c>
      <c r="K906" t="s">
        <v>419</v>
      </c>
      <c r="L906" t="s">
        <v>1181</v>
      </c>
      <c r="M906">
        <v>10</v>
      </c>
      <c r="N906">
        <v>10</v>
      </c>
      <c r="O906" t="s">
        <v>84</v>
      </c>
      <c r="P906">
        <v>1</v>
      </c>
      <c r="Q906">
        <f>N906/P906</f>
      </c>
      <c r="R906" s="1">
        <v>1175</v>
      </c>
      <c r="S906" s="1">
        <v>1175</v>
      </c>
      <c r="T906">
        <f>IF(R906=S906,"相符","不相符")</f>
      </c>
      <c r="U906"/>
      <c r="V906">
        <f>P906*R906</f>
      </c>
      <c r="W906">
        <f>Q906*V906</f>
      </c>
      <c r="X906">
        <v>1095</v>
      </c>
      <c r="Y906" t="s">
        <v>1592</v>
      </c>
      <c r="Z906" t="s">
        <v>1432</v>
      </c>
      <c r="AA906"/>
      <c r="AB906"/>
      <c r="AC906" t="s">
        <v>49</v>
      </c>
      <c r="AD906"/>
    </row>
    <row r="907">
      <c r="A907" t="s">
        <v>30</v>
      </c>
      <c r="B907" t="s">
        <v>189</v>
      </c>
      <c r="C907" t="s">
        <v>1851</v>
      </c>
      <c r="D907" t="s">
        <v>567</v>
      </c>
      <c r="E907" t="s">
        <v>568</v>
      </c>
      <c r="F907" s="2">
        <v>46267</v>
      </c>
      <c r="G907">
        <v>2</v>
      </c>
      <c r="H907" t="s">
        <v>632</v>
      </c>
      <c r="I907" t="s">
        <v>633</v>
      </c>
      <c r="J907" t="s">
        <v>634</v>
      </c>
      <c r="K907" t="s">
        <v>419</v>
      </c>
      <c r="L907" t="s">
        <v>635</v>
      </c>
      <c r="M907">
        <v>6</v>
      </c>
      <c r="N907">
        <v>6</v>
      </c>
      <c r="O907" t="s">
        <v>84</v>
      </c>
      <c r="P907">
        <v>1</v>
      </c>
      <c r="Q907">
        <f>N907/P907</f>
      </c>
      <c r="R907" s="1">
        <v>1231</v>
      </c>
      <c r="S907" s="1">
        <v>1231</v>
      </c>
      <c r="T907">
        <f>IF(R907=S907,"相符","不相符")</f>
      </c>
      <c r="U907"/>
      <c r="V907">
        <f>P907*R907</f>
      </c>
      <c r="W907">
        <f>Q907*V907</f>
      </c>
      <c r="X907">
        <v>1095</v>
      </c>
      <c r="Y907" t="s">
        <v>1592</v>
      </c>
      <c r="Z907" t="s">
        <v>1432</v>
      </c>
      <c r="AA907"/>
      <c r="AB907"/>
      <c r="AC907" t="s">
        <v>49</v>
      </c>
      <c r="AD907"/>
    </row>
    <row r="908">
      <c r="A908" t="s">
        <v>30</v>
      </c>
      <c r="B908" t="s">
        <v>189</v>
      </c>
      <c r="C908" t="s">
        <v>1851</v>
      </c>
      <c r="D908" t="s">
        <v>567</v>
      </c>
      <c r="E908" t="s">
        <v>568</v>
      </c>
      <c r="F908" s="2">
        <v>46267</v>
      </c>
      <c r="G908">
        <v>3</v>
      </c>
      <c r="H908" t="s">
        <v>1799</v>
      </c>
      <c r="I908" t="s">
        <v>1800</v>
      </c>
      <c r="J908" t="s">
        <v>1800</v>
      </c>
      <c r="K908" t="s">
        <v>195</v>
      </c>
      <c r="L908" t="s">
        <v>1801</v>
      </c>
      <c r="M908">
        <v>80</v>
      </c>
      <c r="N908">
        <v>80</v>
      </c>
      <c r="O908" t="s">
        <v>683</v>
      </c>
      <c r="P908">
        <v>1</v>
      </c>
      <c r="Q908">
        <f>N908/P908</f>
      </c>
      <c r="R908" s="1">
        <v>883</v>
      </c>
      <c r="S908" s="1">
        <v>883</v>
      </c>
      <c r="T908">
        <f>IF(R908=S908,"相符","不相符")</f>
      </c>
      <c r="U908"/>
      <c r="V908">
        <f>P908*R908</f>
      </c>
      <c r="W908">
        <f>Q908*V908</f>
      </c>
      <c r="X908">
        <v>1095</v>
      </c>
      <c r="Y908" t="s">
        <v>1592</v>
      </c>
      <c r="Z908" t="s">
        <v>1432</v>
      </c>
      <c r="AA908"/>
      <c r="AB908"/>
      <c r="AC908" t="s">
        <v>49</v>
      </c>
      <c r="AD908"/>
    </row>
    <row r="909">
      <c r="A909" t="s">
        <v>30</v>
      </c>
      <c r="B909" t="s">
        <v>189</v>
      </c>
      <c r="C909" t="s">
        <v>1852</v>
      </c>
      <c r="D909" t="s">
        <v>262</v>
      </c>
      <c r="E909" t="s">
        <v>263</v>
      </c>
      <c r="F909" s="2">
        <v>46267</v>
      </c>
      <c r="G909">
        <v>1</v>
      </c>
      <c r="H909" t="s">
        <v>1853</v>
      </c>
      <c r="I909" t="s">
        <v>1854</v>
      </c>
      <c r="J909" t="s">
        <v>1855</v>
      </c>
      <c r="K909" t="s">
        <v>419</v>
      </c>
      <c r="L909" t="s">
        <v>1856</v>
      </c>
      <c r="M909">
        <v>40</v>
      </c>
      <c r="N909">
        <v>40</v>
      </c>
      <c r="O909" t="s">
        <v>84</v>
      </c>
      <c r="P909">
        <v>1</v>
      </c>
      <c r="Q909">
        <f>N909/P909</f>
      </c>
      <c r="R909" s="1">
        <v>1232</v>
      </c>
      <c r="S909" s="1">
        <v>1</v>
      </c>
      <c r="T909">
        <f>IF(R909=S909,"相符","不相符")</f>
      </c>
      <c r="U909"/>
      <c r="V909">
        <f>P909*R909</f>
      </c>
      <c r="W909">
        <f>Q909*V909</f>
      </c>
      <c r="X909">
        <v>1095</v>
      </c>
      <c r="Y909" t="s">
        <v>1592</v>
      </c>
      <c r="Z909" t="s">
        <v>1432</v>
      </c>
      <c r="AA909"/>
      <c r="AB909"/>
      <c r="AC909" t="s">
        <v>49</v>
      </c>
      <c r="AD909"/>
    </row>
    <row r="910">
      <c r="A910" t="s">
        <v>30</v>
      </c>
      <c r="B910" t="s">
        <v>189</v>
      </c>
      <c r="C910" t="s">
        <v>1852</v>
      </c>
      <c r="D910" t="s">
        <v>262</v>
      </c>
      <c r="E910" t="s">
        <v>263</v>
      </c>
      <c r="F910" s="2">
        <v>46267</v>
      </c>
      <c r="G910">
        <v>2</v>
      </c>
      <c r="H910" t="s">
        <v>1857</v>
      </c>
      <c r="I910" t="s">
        <v>1858</v>
      </c>
      <c r="J910" t="s">
        <v>1855</v>
      </c>
      <c r="K910" t="s">
        <v>419</v>
      </c>
      <c r="L910" t="s">
        <v>1859</v>
      </c>
      <c r="M910">
        <v>24</v>
      </c>
      <c r="N910">
        <v>24</v>
      </c>
      <c r="O910" t="s">
        <v>84</v>
      </c>
      <c r="P910">
        <v>1</v>
      </c>
      <c r="Q910">
        <f>N910/P910</f>
      </c>
      <c r="R910" s="1">
        <v>1232</v>
      </c>
      <c r="S910" s="1">
        <v>1</v>
      </c>
      <c r="T910">
        <f>IF(R910=S910,"相符","不相符")</f>
      </c>
      <c r="U910"/>
      <c r="V910">
        <f>P910*R910</f>
      </c>
      <c r="W910">
        <f>Q910*V910</f>
      </c>
      <c r="X910">
        <v>1095</v>
      </c>
      <c r="Y910" t="s">
        <v>1592</v>
      </c>
      <c r="Z910" t="s">
        <v>1432</v>
      </c>
      <c r="AA910"/>
      <c r="AB910"/>
      <c r="AC910" t="s">
        <v>49</v>
      </c>
      <c r="AD910"/>
    </row>
    <row r="911">
      <c r="A911" t="s">
        <v>30</v>
      </c>
      <c r="B911" t="s">
        <v>254</v>
      </c>
      <c r="C911" t="s">
        <v>1860</v>
      </c>
      <c r="D911" t="s">
        <v>33</v>
      </c>
      <c r="E911" t="s">
        <v>34</v>
      </c>
      <c r="F911" s="2">
        <v>46270</v>
      </c>
      <c r="G911">
        <v>1</v>
      </c>
      <c r="H911" t="s">
        <v>1861</v>
      </c>
      <c r="I911" t="s">
        <v>1862</v>
      </c>
      <c r="J911" t="s">
        <v>1781</v>
      </c>
      <c r="K911" t="s">
        <v>491</v>
      </c>
      <c r="L911" t="s">
        <v>1863</v>
      </c>
      <c r="M911">
        <v>5</v>
      </c>
      <c r="N911">
        <v>5</v>
      </c>
      <c r="O911" t="s">
        <v>197</v>
      </c>
      <c r="P911">
        <v>8</v>
      </c>
      <c r="Q911">
        <f>N911/P911</f>
      </c>
      <c r="R911" s="1">
        <v>139</v>
      </c>
      <c r="S911" s="1">
        <v>139</v>
      </c>
      <c r="T911">
        <f>IF(R911=S911,"相符","不相符")</f>
      </c>
      <c r="U911"/>
      <c r="V911">
        <f>P911*R911</f>
      </c>
      <c r="W911">
        <f>Q911*V911</f>
      </c>
      <c r="X911">
        <v>1095</v>
      </c>
      <c r="Y911" t="s">
        <v>1388</v>
      </c>
      <c r="Z911" t="s">
        <v>1432</v>
      </c>
      <c r="AA911"/>
      <c r="AB911"/>
      <c r="AC911" t="s">
        <v>243</v>
      </c>
      <c r="AD911"/>
    </row>
    <row r="912">
      <c r="A912" t="s">
        <v>30</v>
      </c>
      <c r="B912" t="s">
        <v>254</v>
      </c>
      <c r="C912" t="s">
        <v>1864</v>
      </c>
      <c r="D912" t="s">
        <v>464</v>
      </c>
      <c r="E912" t="s">
        <v>465</v>
      </c>
      <c r="F912" s="2">
        <v>46270</v>
      </c>
      <c r="G912">
        <v>1</v>
      </c>
      <c r="H912" t="s">
        <v>1779</v>
      </c>
      <c r="I912" t="s">
        <v>1780</v>
      </c>
      <c r="J912" t="s">
        <v>1781</v>
      </c>
      <c r="K912" t="s">
        <v>491</v>
      </c>
      <c r="L912" t="s">
        <v>1782</v>
      </c>
      <c r="M912">
        <v>4</v>
      </c>
      <c r="N912">
        <v>4</v>
      </c>
      <c r="O912" t="s">
        <v>84</v>
      </c>
      <c r="P912">
        <v>1</v>
      </c>
      <c r="Q912">
        <f>N912/P912</f>
      </c>
      <c r="R912" s="1">
        <v>1152</v>
      </c>
      <c r="S912" s="1">
        <v>1152</v>
      </c>
      <c r="T912">
        <f>IF(R912=S912,"相符","不相符")</f>
      </c>
      <c r="U912"/>
      <c r="V912">
        <f>P912*R912</f>
      </c>
      <c r="W912">
        <f>Q912*V912</f>
      </c>
      <c r="X912">
        <v>1095</v>
      </c>
      <c r="Y912" t="s">
        <v>1388</v>
      </c>
      <c r="Z912" t="s">
        <v>1432</v>
      </c>
      <c r="AA912"/>
      <c r="AB912"/>
      <c r="AC912" t="s">
        <v>243</v>
      </c>
      <c r="AD912"/>
    </row>
    <row r="913">
      <c r="A913" t="s">
        <v>30</v>
      </c>
      <c r="B913" t="s">
        <v>254</v>
      </c>
      <c r="C913" t="s">
        <v>1865</v>
      </c>
      <c r="D913" t="s">
        <v>464</v>
      </c>
      <c r="E913" t="s">
        <v>465</v>
      </c>
      <c r="F913" s="2">
        <v>46284</v>
      </c>
      <c r="G913">
        <v>1</v>
      </c>
      <c r="H913" t="s">
        <v>1248</v>
      </c>
      <c r="I913" t="s">
        <v>1249</v>
      </c>
      <c r="J913" t="s">
        <v>1250</v>
      </c>
      <c r="K913" t="s">
        <v>491</v>
      </c>
      <c r="L913" t="s">
        <v>1251</v>
      </c>
      <c r="M913">
        <v>56</v>
      </c>
      <c r="N913">
        <v>56</v>
      </c>
      <c r="O913" t="s">
        <v>197</v>
      </c>
      <c r="P913">
        <v>8</v>
      </c>
      <c r="Q913">
        <f>N913/P913</f>
      </c>
      <c r="R913" s="1">
        <v>82</v>
      </c>
      <c r="S913" s="1">
        <v>82</v>
      </c>
      <c r="T913">
        <f>IF(R913=S913,"相符","不相符")</f>
      </c>
      <c r="U913" t="s">
        <v>1252</v>
      </c>
      <c r="V913">
        <f>P913*R913</f>
      </c>
      <c r="W913">
        <f>Q913*V913</f>
      </c>
      <c r="X913">
        <v>1825</v>
      </c>
      <c r="Y913" t="s">
        <v>565</v>
      </c>
      <c r="Z913" t="s">
        <v>573</v>
      </c>
      <c r="AA913"/>
      <c r="AB913"/>
      <c r="AC913" t="s">
        <v>243</v>
      </c>
      <c r="AD913"/>
    </row>
    <row r="914">
      <c r="A914" t="s">
        <v>30</v>
      </c>
      <c r="B914" t="s">
        <v>254</v>
      </c>
      <c r="C914" t="s">
        <v>1865</v>
      </c>
      <c r="D914" t="s">
        <v>464</v>
      </c>
      <c r="E914" t="s">
        <v>465</v>
      </c>
      <c r="F914" s="2">
        <v>46284</v>
      </c>
      <c r="G914">
        <v>2</v>
      </c>
      <c r="H914" t="s">
        <v>1118</v>
      </c>
      <c r="I914" t="s">
        <v>1119</v>
      </c>
      <c r="J914" t="s">
        <v>1120</v>
      </c>
      <c r="K914" t="s">
        <v>491</v>
      </c>
      <c r="L914" t="s">
        <v>1121</v>
      </c>
      <c r="M914">
        <v>23</v>
      </c>
      <c r="N914">
        <v>23</v>
      </c>
      <c r="O914" t="s">
        <v>197</v>
      </c>
      <c r="P914">
        <v>3</v>
      </c>
      <c r="Q914">
        <f>N914/P914</f>
      </c>
      <c r="R914" s="1">
        <v>315</v>
      </c>
      <c r="S914" s="1">
        <v>315</v>
      </c>
      <c r="T914">
        <f>IF(R914=S914,"相符","不相符")</f>
      </c>
      <c r="U914" t="s">
        <v>1122</v>
      </c>
      <c r="V914">
        <f>P914*R914</f>
      </c>
      <c r="W914">
        <f>Q914*V914</f>
      </c>
      <c r="X914">
        <v>1825</v>
      </c>
      <c r="Y914" t="s">
        <v>565</v>
      </c>
      <c r="Z914" t="s">
        <v>573</v>
      </c>
      <c r="AA914"/>
      <c r="AB914"/>
      <c r="AC914" t="s">
        <v>243</v>
      </c>
      <c r="AD914"/>
    </row>
    <row r="915">
      <c r="A915" t="s">
        <v>30</v>
      </c>
      <c r="B915" t="s">
        <v>254</v>
      </c>
      <c r="C915" t="s">
        <v>1865</v>
      </c>
      <c r="D915" t="s">
        <v>464</v>
      </c>
      <c r="E915" t="s">
        <v>465</v>
      </c>
      <c r="F915" s="2">
        <v>46284</v>
      </c>
      <c r="G915">
        <v>3</v>
      </c>
      <c r="H915" t="s">
        <v>825</v>
      </c>
      <c r="I915" t="s">
        <v>826</v>
      </c>
      <c r="J915" t="s">
        <v>827</v>
      </c>
      <c r="K915" t="s">
        <v>258</v>
      </c>
      <c r="L915" t="s">
        <v>828</v>
      </c>
      <c r="M915">
        <v>20</v>
      </c>
      <c r="N915">
        <v>20</v>
      </c>
      <c r="O915" t="s">
        <v>197</v>
      </c>
      <c r="P915">
        <v>8</v>
      </c>
      <c r="Q915">
        <f>N915/P915</f>
      </c>
      <c r="R915" s="1">
        <v>67</v>
      </c>
      <c r="S915" s="1">
        <v>67</v>
      </c>
      <c r="T915">
        <f>IF(R915=S915,"相符","不相符")</f>
      </c>
      <c r="U915" t="s">
        <v>829</v>
      </c>
      <c r="V915">
        <f>P915*R915</f>
      </c>
      <c r="W915">
        <f>Q915*V915</f>
      </c>
      <c r="X915">
        <v>1825</v>
      </c>
      <c r="Y915" t="s">
        <v>565</v>
      </c>
      <c r="Z915" t="s">
        <v>573</v>
      </c>
      <c r="AA915"/>
      <c r="AB915"/>
      <c r="AC915" t="s">
        <v>243</v>
      </c>
      <c r="AD915"/>
    </row>
    <row r="916">
      <c r="A916" t="s">
        <v>30</v>
      </c>
      <c r="B916" t="s">
        <v>254</v>
      </c>
      <c r="C916" t="s">
        <v>1865</v>
      </c>
      <c r="D916" t="s">
        <v>464</v>
      </c>
      <c r="E916" t="s">
        <v>465</v>
      </c>
      <c r="F916" s="2">
        <v>46284</v>
      </c>
      <c r="G916">
        <v>4</v>
      </c>
      <c r="H916" t="s">
        <v>1723</v>
      </c>
      <c r="I916" t="s">
        <v>1724</v>
      </c>
      <c r="J916" t="s">
        <v>1725</v>
      </c>
      <c r="K916" t="s">
        <v>491</v>
      </c>
      <c r="L916" t="s">
        <v>1726</v>
      </c>
      <c r="M916">
        <v>8</v>
      </c>
      <c r="N916">
        <v>8</v>
      </c>
      <c r="O916" t="s">
        <v>197</v>
      </c>
      <c r="P916">
        <v>8</v>
      </c>
      <c r="Q916">
        <f>N916/P916</f>
      </c>
      <c r="R916" s="1">
        <v>82</v>
      </c>
      <c r="S916" s="1">
        <v>82</v>
      </c>
      <c r="T916">
        <f>IF(R916=S916,"相符","不相符")</f>
      </c>
      <c r="U916" t="s">
        <v>1727</v>
      </c>
      <c r="V916">
        <f>P916*R916</f>
      </c>
      <c r="W916">
        <f>Q916*V916</f>
      </c>
      <c r="X916">
        <v>1825</v>
      </c>
      <c r="Y916" t="s">
        <v>565</v>
      </c>
      <c r="Z916" t="s">
        <v>573</v>
      </c>
      <c r="AA916"/>
      <c r="AB916"/>
      <c r="AC916" t="s">
        <v>243</v>
      </c>
      <c r="AD916"/>
    </row>
    <row r="917">
      <c r="A917" t="s">
        <v>30</v>
      </c>
      <c r="B917" t="s">
        <v>233</v>
      </c>
      <c r="C917" t="s">
        <v>1865</v>
      </c>
      <c r="D917" t="s">
        <v>464</v>
      </c>
      <c r="E917" t="s">
        <v>465</v>
      </c>
      <c r="F917" s="2">
        <v>46284</v>
      </c>
      <c r="G917">
        <v>5</v>
      </c>
      <c r="H917" t="s">
        <v>1866</v>
      </c>
      <c r="I917" t="s">
        <v>1867</v>
      </c>
      <c r="J917" t="s">
        <v>1386</v>
      </c>
      <c r="K917" t="s">
        <v>238</v>
      </c>
      <c r="L917" t="s">
        <v>1868</v>
      </c>
      <c r="M917">
        <v>2</v>
      </c>
      <c r="N917">
        <v>2</v>
      </c>
      <c r="O917" t="s">
        <v>84</v>
      </c>
      <c r="P917">
        <v>1</v>
      </c>
      <c r="Q917">
        <f>N917/P917</f>
      </c>
      <c r="R917" s="1">
        <v>856</v>
      </c>
      <c r="S917" s="1">
        <v>856</v>
      </c>
      <c r="T917">
        <f>IF(R917=S917,"相符","不相符")</f>
      </c>
      <c r="U917" t="s">
        <v>1813</v>
      </c>
      <c r="V917">
        <f>P917*R917</f>
      </c>
      <c r="W917">
        <f>Q917*V917</f>
      </c>
      <c r="X917">
        <v>1095</v>
      </c>
      <c r="Y917" t="s">
        <v>1814</v>
      </c>
      <c r="Z917" t="s">
        <v>573</v>
      </c>
      <c r="AA917"/>
      <c r="AB917"/>
      <c r="AC917" t="s">
        <v>243</v>
      </c>
      <c r="AD917"/>
    </row>
    <row r="918">
      <c r="A918" t="s">
        <v>30</v>
      </c>
      <c r="B918" t="s">
        <v>233</v>
      </c>
      <c r="C918" t="s">
        <v>1865</v>
      </c>
      <c r="D918" t="s">
        <v>464</v>
      </c>
      <c r="E918" t="s">
        <v>465</v>
      </c>
      <c r="F918" s="2">
        <v>46284</v>
      </c>
      <c r="G918">
        <v>6</v>
      </c>
      <c r="H918" t="s">
        <v>1869</v>
      </c>
      <c r="I918" t="s">
        <v>1870</v>
      </c>
      <c r="J918" t="s">
        <v>1707</v>
      </c>
      <c r="K918" t="s">
        <v>238</v>
      </c>
      <c r="L918" t="s">
        <v>1871</v>
      </c>
      <c r="M918">
        <v>14</v>
      </c>
      <c r="N918">
        <v>14</v>
      </c>
      <c r="O918" t="s">
        <v>84</v>
      </c>
      <c r="P918">
        <v>1</v>
      </c>
      <c r="Q918">
        <f>N918/P918</f>
      </c>
      <c r="R918" s="1">
        <v>848</v>
      </c>
      <c r="S918" s="1">
        <v>848</v>
      </c>
      <c r="T918">
        <f>IF(R918=S918,"相符","不相符")</f>
      </c>
      <c r="U918" t="s">
        <v>1813</v>
      </c>
      <c r="V918">
        <f>P918*R918</f>
      </c>
      <c r="W918">
        <f>Q918*V918</f>
      </c>
      <c r="X918">
        <v>1095</v>
      </c>
      <c r="Y918" t="s">
        <v>1814</v>
      </c>
      <c r="Z918" t="s">
        <v>573</v>
      </c>
      <c r="AA918"/>
      <c r="AB918"/>
      <c r="AC918" t="s">
        <v>243</v>
      </c>
      <c r="AD918"/>
    </row>
    <row r="919">
      <c r="A919" t="s">
        <v>30</v>
      </c>
      <c r="B919" t="s">
        <v>233</v>
      </c>
      <c r="C919" t="s">
        <v>1865</v>
      </c>
      <c r="D919" t="s">
        <v>464</v>
      </c>
      <c r="E919" t="s">
        <v>465</v>
      </c>
      <c r="F919" s="2">
        <v>46284</v>
      </c>
      <c r="G919">
        <v>7</v>
      </c>
      <c r="H919" t="s">
        <v>1872</v>
      </c>
      <c r="I919" t="s">
        <v>1873</v>
      </c>
      <c r="J919" t="s">
        <v>1312</v>
      </c>
      <c r="K919" t="s">
        <v>238</v>
      </c>
      <c r="L919" t="s">
        <v>1874</v>
      </c>
      <c r="M919">
        <v>13</v>
      </c>
      <c r="N919">
        <v>13</v>
      </c>
      <c r="O919" t="s">
        <v>84</v>
      </c>
      <c r="P919">
        <v>1</v>
      </c>
      <c r="Q919">
        <f>N919/P919</f>
      </c>
      <c r="R919" s="1">
        <v>773</v>
      </c>
      <c r="S919" s="1">
        <v>773</v>
      </c>
      <c r="T919">
        <f>IF(R919=S919,"相符","不相符")</f>
      </c>
      <c r="U919"/>
      <c r="V919">
        <f>P919*R919</f>
      </c>
      <c r="W919">
        <f>Q919*V919</f>
      </c>
      <c r="X919">
        <v>1095</v>
      </c>
      <c r="Y919" t="s">
        <v>1814</v>
      </c>
      <c r="Z919" t="s">
        <v>573</v>
      </c>
      <c r="AA919"/>
      <c r="AB919"/>
      <c r="AC919" t="s">
        <v>243</v>
      </c>
      <c r="AD919"/>
    </row>
    <row r="920">
      <c r="A920" t="s">
        <v>30</v>
      </c>
      <c r="B920" t="s">
        <v>233</v>
      </c>
      <c r="C920" t="s">
        <v>1865</v>
      </c>
      <c r="D920" t="s">
        <v>464</v>
      </c>
      <c r="E920" t="s">
        <v>465</v>
      </c>
      <c r="F920" s="2">
        <v>46284</v>
      </c>
      <c r="G920">
        <v>8</v>
      </c>
      <c r="H920" t="s">
        <v>1444</v>
      </c>
      <c r="I920" t="s">
        <v>1445</v>
      </c>
      <c r="J920" t="s">
        <v>482</v>
      </c>
      <c r="K920" t="s">
        <v>238</v>
      </c>
      <c r="L920" t="s">
        <v>1446</v>
      </c>
      <c r="M920">
        <v>25</v>
      </c>
      <c r="N920">
        <v>25</v>
      </c>
      <c r="O920" t="s">
        <v>84</v>
      </c>
      <c r="P920">
        <v>1</v>
      </c>
      <c r="Q920">
        <f>N920/P920</f>
      </c>
      <c r="R920" s="1">
        <v>1002</v>
      </c>
      <c r="S920" s="1">
        <v>1002</v>
      </c>
      <c r="T920">
        <f>IF(R920=S920,"相符","不相符")</f>
      </c>
      <c r="U920"/>
      <c r="V920">
        <f>P920*R920</f>
      </c>
      <c r="W920">
        <f>Q920*V920</f>
      </c>
      <c r="X920">
        <v>1095</v>
      </c>
      <c r="Y920" t="s">
        <v>1814</v>
      </c>
      <c r="Z920" t="s">
        <v>573</v>
      </c>
      <c r="AA920"/>
      <c r="AB920"/>
      <c r="AC920" t="s">
        <v>243</v>
      </c>
      <c r="AD920"/>
    </row>
    <row r="921">
      <c r="A921" t="s">
        <v>30</v>
      </c>
      <c r="B921" t="s">
        <v>233</v>
      </c>
      <c r="C921" t="s">
        <v>1865</v>
      </c>
      <c r="D921" t="s">
        <v>464</v>
      </c>
      <c r="E921" t="s">
        <v>465</v>
      </c>
      <c r="F921" s="2">
        <v>46284</v>
      </c>
      <c r="G921">
        <v>9</v>
      </c>
      <c r="H921" t="s">
        <v>1810</v>
      </c>
      <c r="I921" t="s">
        <v>1811</v>
      </c>
      <c r="J921" t="s">
        <v>902</v>
      </c>
      <c r="K921" t="s">
        <v>238</v>
      </c>
      <c r="L921" t="s">
        <v>1812</v>
      </c>
      <c r="M921">
        <v>3</v>
      </c>
      <c r="N921">
        <v>3</v>
      </c>
      <c r="O921" t="s">
        <v>84</v>
      </c>
      <c r="P921">
        <v>1</v>
      </c>
      <c r="Q921">
        <f>N921/P921</f>
      </c>
      <c r="R921" s="1">
        <v>1310</v>
      </c>
      <c r="S921" s="1">
        <v>1310</v>
      </c>
      <c r="T921">
        <f>IF(R921=S921,"相符","不相符")</f>
      </c>
      <c r="U921" t="s">
        <v>1813</v>
      </c>
      <c r="V921">
        <f>P921*R921</f>
      </c>
      <c r="W921">
        <f>Q921*V921</f>
      </c>
      <c r="X921">
        <v>1095</v>
      </c>
      <c r="Y921" t="s">
        <v>1814</v>
      </c>
      <c r="Z921" t="s">
        <v>573</v>
      </c>
      <c r="AA921"/>
      <c r="AB921"/>
      <c r="AC921" t="s">
        <v>243</v>
      </c>
      <c r="AD921"/>
    </row>
    <row r="922">
      <c r="A922" t="s">
        <v>30</v>
      </c>
      <c r="B922" t="s">
        <v>254</v>
      </c>
      <c r="C922" t="s">
        <v>1875</v>
      </c>
      <c r="D922" t="s">
        <v>567</v>
      </c>
      <c r="E922" t="s">
        <v>568</v>
      </c>
      <c r="F922" s="2">
        <v>46286</v>
      </c>
      <c r="G922">
        <v>1</v>
      </c>
      <c r="H922" t="s">
        <v>569</v>
      </c>
      <c r="I922" t="s">
        <v>570</v>
      </c>
      <c r="J922" t="s">
        <v>571</v>
      </c>
      <c r="K922" t="s">
        <v>491</v>
      </c>
      <c r="L922" t="s">
        <v>572</v>
      </c>
      <c r="M922">
        <v>5</v>
      </c>
      <c r="N922">
        <v>5</v>
      </c>
      <c r="O922" t="s">
        <v>84</v>
      </c>
      <c r="P922">
        <v>1</v>
      </c>
      <c r="Q922">
        <f>N922/P922</f>
      </c>
      <c r="R922" s="1">
        <v>638</v>
      </c>
      <c r="S922" s="1">
        <v>638</v>
      </c>
      <c r="T922">
        <f>IF(R922=S922,"相符","不相符")</f>
      </c>
      <c r="U922"/>
      <c r="V922">
        <f>P922*R922</f>
      </c>
      <c r="W922">
        <f>Q922*V922</f>
      </c>
      <c r="X922">
        <v>1825</v>
      </c>
      <c r="Y922" t="s">
        <v>1306</v>
      </c>
      <c r="Z922" t="s">
        <v>573</v>
      </c>
      <c r="AA922"/>
      <c r="AB922"/>
      <c r="AC922" t="s">
        <v>243</v>
      </c>
      <c r="AD922"/>
    </row>
    <row r="923">
      <c r="A923" t="s">
        <v>30</v>
      </c>
      <c r="B923" t="s">
        <v>254</v>
      </c>
      <c r="C923" t="s">
        <v>1875</v>
      </c>
      <c r="D923" t="s">
        <v>567</v>
      </c>
      <c r="E923" t="s">
        <v>568</v>
      </c>
      <c r="F923" s="2">
        <v>46286</v>
      </c>
      <c r="G923">
        <v>2</v>
      </c>
      <c r="H923" t="s">
        <v>574</v>
      </c>
      <c r="I923" t="s">
        <v>575</v>
      </c>
      <c r="J923" t="s">
        <v>576</v>
      </c>
      <c r="K923" t="s">
        <v>491</v>
      </c>
      <c r="L923" t="s">
        <v>577</v>
      </c>
      <c r="M923">
        <v>1</v>
      </c>
      <c r="N923">
        <v>1</v>
      </c>
      <c r="O923" t="s">
        <v>84</v>
      </c>
      <c r="P923">
        <v>1</v>
      </c>
      <c r="Q923">
        <f>N923/P923</f>
      </c>
      <c r="R923" s="1">
        <v>868</v>
      </c>
      <c r="S923" s="1">
        <v>868</v>
      </c>
      <c r="T923">
        <f>IF(R923=S923,"相符","不相符")</f>
      </c>
      <c r="U923" t="s">
        <v>578</v>
      </c>
      <c r="V923">
        <f>P923*R923</f>
      </c>
      <c r="W923">
        <f>Q923*V923</f>
      </c>
      <c r="X923">
        <v>1825</v>
      </c>
      <c r="Y923" t="s">
        <v>1306</v>
      </c>
      <c r="Z923" t="s">
        <v>573</v>
      </c>
      <c r="AA923"/>
      <c r="AB923"/>
      <c r="AC923" t="s">
        <v>243</v>
      </c>
      <c r="AD923"/>
    </row>
    <row r="924">
      <c r="A924" t="s">
        <v>30</v>
      </c>
      <c r="B924" t="s">
        <v>254</v>
      </c>
      <c r="C924" t="s">
        <v>1875</v>
      </c>
      <c r="D924" t="s">
        <v>567</v>
      </c>
      <c r="E924" t="s">
        <v>568</v>
      </c>
      <c r="F924" s="2">
        <v>46286</v>
      </c>
      <c r="G924">
        <v>3</v>
      </c>
      <c r="H924" t="s">
        <v>264</v>
      </c>
      <c r="I924" t="s">
        <v>265</v>
      </c>
      <c r="J924" t="s">
        <v>266</v>
      </c>
      <c r="K924" t="s">
        <v>258</v>
      </c>
      <c r="L924" t="s">
        <v>267</v>
      </c>
      <c r="M924">
        <v>71</v>
      </c>
      <c r="N924">
        <v>71</v>
      </c>
      <c r="O924" t="s">
        <v>197</v>
      </c>
      <c r="P924">
        <v>7</v>
      </c>
      <c r="Q924">
        <f>N924/P924</f>
      </c>
      <c r="R924" s="1">
        <v>92</v>
      </c>
      <c r="S924" s="1">
        <v>92</v>
      </c>
      <c r="T924">
        <f>IF(R924=S924,"相符","不相符")</f>
      </c>
      <c r="U924" t="s">
        <v>268</v>
      </c>
      <c r="V924">
        <f>P924*R924</f>
      </c>
      <c r="W924">
        <f>Q924*V924</f>
      </c>
      <c r="X924">
        <v>1825</v>
      </c>
      <c r="Y924" t="s">
        <v>1306</v>
      </c>
      <c r="Z924" t="s">
        <v>573</v>
      </c>
      <c r="AA924"/>
      <c r="AB924"/>
      <c r="AC924" t="s">
        <v>243</v>
      </c>
      <c r="AD924"/>
    </row>
    <row r="925">
      <c r="A925" t="s">
        <v>30</v>
      </c>
      <c r="B925" t="s">
        <v>254</v>
      </c>
      <c r="C925" t="s">
        <v>1875</v>
      </c>
      <c r="D925" t="s">
        <v>567</v>
      </c>
      <c r="E925" t="s">
        <v>568</v>
      </c>
      <c r="F925" s="2">
        <v>46286</v>
      </c>
      <c r="G925">
        <v>4</v>
      </c>
      <c r="H925" t="s">
        <v>579</v>
      </c>
      <c r="I925" t="s">
        <v>580</v>
      </c>
      <c r="J925" t="s">
        <v>581</v>
      </c>
      <c r="K925" t="s">
        <v>258</v>
      </c>
      <c r="L925" t="s">
        <v>582</v>
      </c>
      <c r="M925">
        <v>12</v>
      </c>
      <c r="N925">
        <v>12</v>
      </c>
      <c r="O925" t="s">
        <v>84</v>
      </c>
      <c r="P925">
        <v>1</v>
      </c>
      <c r="Q925">
        <f>N925/P925</f>
      </c>
      <c r="R925" s="1">
        <v>459</v>
      </c>
      <c r="S925" s="1">
        <v>459</v>
      </c>
      <c r="T925">
        <f>IF(R925=S925,"相符","不相符")</f>
      </c>
      <c r="U925"/>
      <c r="V925">
        <f>P925*R925</f>
      </c>
      <c r="W925">
        <f>Q925*V925</f>
      </c>
      <c r="X925">
        <v>1825</v>
      </c>
      <c r="Y925" t="s">
        <v>1306</v>
      </c>
      <c r="Z925" t="s">
        <v>573</v>
      </c>
      <c r="AA925"/>
      <c r="AB925"/>
      <c r="AC925" t="s">
        <v>243</v>
      </c>
      <c r="AD925"/>
    </row>
    <row r="926">
      <c r="A926" t="s">
        <v>30</v>
      </c>
      <c r="B926" t="s">
        <v>254</v>
      </c>
      <c r="C926" t="s">
        <v>1875</v>
      </c>
      <c r="D926" t="s">
        <v>567</v>
      </c>
      <c r="E926" t="s">
        <v>568</v>
      </c>
      <c r="F926" s="2">
        <v>46286</v>
      </c>
      <c r="G926">
        <v>5</v>
      </c>
      <c r="H926" t="s">
        <v>1876</v>
      </c>
      <c r="I926" t="s">
        <v>1877</v>
      </c>
      <c r="J926" t="s">
        <v>1725</v>
      </c>
      <c r="K926" t="s">
        <v>491</v>
      </c>
      <c r="L926" t="s">
        <v>1878</v>
      </c>
      <c r="M926">
        <v>5</v>
      </c>
      <c r="N926">
        <v>5</v>
      </c>
      <c r="O926" t="s">
        <v>84</v>
      </c>
      <c r="P926">
        <v>1</v>
      </c>
      <c r="Q926">
        <f>N926/P926</f>
      </c>
      <c r="R926" s="1">
        <v>654</v>
      </c>
      <c r="S926" s="1">
        <v>654</v>
      </c>
      <c r="T926">
        <f>IF(R926=S926,"相符","不相符")</f>
      </c>
      <c r="U926" t="s">
        <v>1879</v>
      </c>
      <c r="V926">
        <f>P926*R926</f>
      </c>
      <c r="W926">
        <f>Q926*V926</f>
      </c>
      <c r="X926">
        <v>1825</v>
      </c>
      <c r="Y926" t="s">
        <v>1307</v>
      </c>
      <c r="Z926" t="s">
        <v>573</v>
      </c>
      <c r="AA926"/>
      <c r="AB926"/>
      <c r="AC926" t="s">
        <v>243</v>
      </c>
      <c r="AD926"/>
    </row>
    <row r="927">
      <c r="A927" t="s">
        <v>30</v>
      </c>
      <c r="B927" t="s">
        <v>254</v>
      </c>
      <c r="C927" t="s">
        <v>1875</v>
      </c>
      <c r="D927" t="s">
        <v>567</v>
      </c>
      <c r="E927" t="s">
        <v>568</v>
      </c>
      <c r="F927" s="2">
        <v>46286</v>
      </c>
      <c r="G927">
        <v>6</v>
      </c>
      <c r="H927" t="s">
        <v>1880</v>
      </c>
      <c r="I927" t="s">
        <v>1881</v>
      </c>
      <c r="J927" t="s">
        <v>1700</v>
      </c>
      <c r="K927" t="s">
        <v>491</v>
      </c>
      <c r="L927" t="s">
        <v>1882</v>
      </c>
      <c r="M927">
        <v>1</v>
      </c>
      <c r="N927">
        <v>1</v>
      </c>
      <c r="O927" t="s">
        <v>84</v>
      </c>
      <c r="P927">
        <v>1</v>
      </c>
      <c r="Q927">
        <f>N927/P927</f>
      </c>
      <c r="R927" s="1">
        <v>1048</v>
      </c>
      <c r="S927" s="1">
        <v>1048</v>
      </c>
      <c r="T927">
        <f>IF(R927=S927,"相符","不相符")</f>
      </c>
      <c r="U927" t="s">
        <v>1883</v>
      </c>
      <c r="V927">
        <f>P927*R927</f>
      </c>
      <c r="W927">
        <f>Q927*V927</f>
      </c>
      <c r="X927">
        <v>1825</v>
      </c>
      <c r="Y927" t="s">
        <v>1306</v>
      </c>
      <c r="Z927" t="s">
        <v>573</v>
      </c>
      <c r="AA927"/>
      <c r="AB927"/>
      <c r="AC927" t="s">
        <v>243</v>
      </c>
      <c r="AD927"/>
    </row>
    <row r="928">
      <c r="A928" t="s">
        <v>30</v>
      </c>
      <c r="B928" t="s">
        <v>254</v>
      </c>
      <c r="C928" t="s">
        <v>1875</v>
      </c>
      <c r="D928" t="s">
        <v>567</v>
      </c>
      <c r="E928" t="s">
        <v>568</v>
      </c>
      <c r="F928" s="2">
        <v>46286</v>
      </c>
      <c r="G928">
        <v>7</v>
      </c>
      <c r="H928" t="s">
        <v>587</v>
      </c>
      <c r="I928" t="s">
        <v>588</v>
      </c>
      <c r="J928" t="s">
        <v>589</v>
      </c>
      <c r="K928" t="s">
        <v>491</v>
      </c>
      <c r="L928" t="s">
        <v>590</v>
      </c>
      <c r="M928">
        <v>3</v>
      </c>
      <c r="N928">
        <v>3</v>
      </c>
      <c r="O928" t="s">
        <v>84</v>
      </c>
      <c r="P928">
        <v>1</v>
      </c>
      <c r="Q928">
        <f>N928/P928</f>
      </c>
      <c r="R928" s="1">
        <v>992</v>
      </c>
      <c r="S928" s="1">
        <v>992</v>
      </c>
      <c r="T928">
        <f>IF(R928=S928,"相符","不相符")</f>
      </c>
      <c r="U928" t="s">
        <v>578</v>
      </c>
      <c r="V928">
        <f>P928*R928</f>
      </c>
      <c r="W928">
        <f>Q928*V928</f>
      </c>
      <c r="X928">
        <v>1825</v>
      </c>
      <c r="Y928" t="s">
        <v>1306</v>
      </c>
      <c r="Z928" t="s">
        <v>573</v>
      </c>
      <c r="AA928"/>
      <c r="AB928"/>
      <c r="AC928" t="s">
        <v>243</v>
      </c>
      <c r="AD928"/>
    </row>
    <row r="929">
      <c r="A929" t="s">
        <v>30</v>
      </c>
      <c r="B929" t="s">
        <v>254</v>
      </c>
      <c r="C929" t="s">
        <v>1875</v>
      </c>
      <c r="D929" t="s">
        <v>567</v>
      </c>
      <c r="E929" t="s">
        <v>568</v>
      </c>
      <c r="F929" s="2">
        <v>46286</v>
      </c>
      <c r="G929">
        <v>8</v>
      </c>
      <c r="H929" t="s">
        <v>1884</v>
      </c>
      <c r="I929" t="s">
        <v>1885</v>
      </c>
      <c r="J929" t="s">
        <v>1886</v>
      </c>
      <c r="K929" t="s">
        <v>491</v>
      </c>
      <c r="L929" t="s">
        <v>1887</v>
      </c>
      <c r="M929">
        <v>7</v>
      </c>
      <c r="N929">
        <v>7</v>
      </c>
      <c r="O929" t="s">
        <v>84</v>
      </c>
      <c r="P929">
        <v>1</v>
      </c>
      <c r="Q929">
        <f>N929/P929</f>
      </c>
      <c r="R929" s="1">
        <v>798</v>
      </c>
      <c r="S929" s="1">
        <v>798</v>
      </c>
      <c r="T929">
        <f>IF(R929=S929,"相符","不相符")</f>
      </c>
      <c r="U929" t="s">
        <v>578</v>
      </c>
      <c r="V929">
        <f>P929*R929</f>
      </c>
      <c r="W929">
        <f>Q929*V929</f>
      </c>
      <c r="X929">
        <v>1825</v>
      </c>
      <c r="Y929" t="s">
        <v>1306</v>
      </c>
      <c r="Z929" t="s">
        <v>573</v>
      </c>
      <c r="AA929"/>
      <c r="AB929"/>
      <c r="AC929" t="s">
        <v>243</v>
      </c>
      <c r="AD929"/>
    </row>
    <row r="930">
      <c r="A930" t="s">
        <v>30</v>
      </c>
      <c r="B930" t="s">
        <v>254</v>
      </c>
      <c r="C930" t="s">
        <v>1875</v>
      </c>
      <c r="D930" t="s">
        <v>567</v>
      </c>
      <c r="E930" t="s">
        <v>568</v>
      </c>
      <c r="F930" s="2">
        <v>46286</v>
      </c>
      <c r="G930">
        <v>9</v>
      </c>
      <c r="H930" t="s">
        <v>591</v>
      </c>
      <c r="I930" t="s">
        <v>592</v>
      </c>
      <c r="J930" t="s">
        <v>593</v>
      </c>
      <c r="K930" t="s">
        <v>258</v>
      </c>
      <c r="L930" t="s">
        <v>594</v>
      </c>
      <c r="M930">
        <v>3</v>
      </c>
      <c r="N930">
        <v>3</v>
      </c>
      <c r="O930" t="s">
        <v>84</v>
      </c>
      <c r="P930">
        <v>1</v>
      </c>
      <c r="Q930">
        <f>N930/P930</f>
      </c>
      <c r="R930" s="1">
        <v>630</v>
      </c>
      <c r="S930" s="1">
        <v>630</v>
      </c>
      <c r="T930">
        <f>IF(R930=S930,"相符","不相符")</f>
      </c>
      <c r="U930"/>
      <c r="V930">
        <f>P930*R930</f>
      </c>
      <c r="W930">
        <f>Q930*V930</f>
      </c>
      <c r="X930">
        <v>1825</v>
      </c>
      <c r="Y930" t="s">
        <v>1306</v>
      </c>
      <c r="Z930" t="s">
        <v>573</v>
      </c>
      <c r="AA930"/>
      <c r="AB930"/>
      <c r="AC930" t="s">
        <v>243</v>
      </c>
      <c r="AD930"/>
    </row>
    <row r="931">
      <c r="A931" t="s">
        <v>30</v>
      </c>
      <c r="B931" t="s">
        <v>254</v>
      </c>
      <c r="C931" t="s">
        <v>1875</v>
      </c>
      <c r="D931" t="s">
        <v>567</v>
      </c>
      <c r="E931" t="s">
        <v>568</v>
      </c>
      <c r="F931" s="2">
        <v>46286</v>
      </c>
      <c r="G931">
        <v>10</v>
      </c>
      <c r="H931" t="s">
        <v>595</v>
      </c>
      <c r="I931" t="s">
        <v>596</v>
      </c>
      <c r="J931" t="s">
        <v>597</v>
      </c>
      <c r="K931" t="s">
        <v>491</v>
      </c>
      <c r="L931" t="s">
        <v>598</v>
      </c>
      <c r="M931">
        <v>5</v>
      </c>
      <c r="N931">
        <v>5</v>
      </c>
      <c r="O931" t="s">
        <v>84</v>
      </c>
      <c r="P931">
        <v>1</v>
      </c>
      <c r="Q931">
        <f>N931/P931</f>
      </c>
      <c r="R931" s="1">
        <v>742</v>
      </c>
      <c r="S931" s="1">
        <v>742</v>
      </c>
      <c r="T931">
        <f>IF(R931=S931,"相符","不相符")</f>
      </c>
      <c r="U931" t="s">
        <v>578</v>
      </c>
      <c r="V931">
        <f>P931*R931</f>
      </c>
      <c r="W931">
        <f>Q931*V931</f>
      </c>
      <c r="X931">
        <v>1825</v>
      </c>
      <c r="Y931" t="s">
        <v>1306</v>
      </c>
      <c r="Z931" t="s">
        <v>573</v>
      </c>
      <c r="AA931"/>
      <c r="AB931"/>
      <c r="AC931" t="s">
        <v>243</v>
      </c>
      <c r="AD931"/>
    </row>
    <row r="932">
      <c r="A932" t="s">
        <v>30</v>
      </c>
      <c r="B932" t="s">
        <v>254</v>
      </c>
      <c r="C932" t="s">
        <v>1875</v>
      </c>
      <c r="D932" t="s">
        <v>567</v>
      </c>
      <c r="E932" t="s">
        <v>568</v>
      </c>
      <c r="F932" s="2">
        <v>46286</v>
      </c>
      <c r="G932">
        <v>11</v>
      </c>
      <c r="H932" t="s">
        <v>599</v>
      </c>
      <c r="I932" t="s">
        <v>600</v>
      </c>
      <c r="J932" t="s">
        <v>601</v>
      </c>
      <c r="K932" t="s">
        <v>491</v>
      </c>
      <c r="L932" t="s">
        <v>602</v>
      </c>
      <c r="M932">
        <v>1</v>
      </c>
      <c r="N932">
        <v>1</v>
      </c>
      <c r="O932" t="s">
        <v>84</v>
      </c>
      <c r="P932">
        <v>1</v>
      </c>
      <c r="Q932">
        <f>N932/P932</f>
      </c>
      <c r="R932" s="1">
        <v>712</v>
      </c>
      <c r="S932" s="1">
        <v>712</v>
      </c>
      <c r="T932">
        <f>IF(R932=S932,"相符","不相符")</f>
      </c>
      <c r="U932" t="s">
        <v>578</v>
      </c>
      <c r="V932">
        <f>P932*R932</f>
      </c>
      <c r="W932">
        <f>Q932*V932</f>
      </c>
      <c r="X932">
        <v>1825</v>
      </c>
      <c r="Y932" t="s">
        <v>1306</v>
      </c>
      <c r="Z932" t="s">
        <v>573</v>
      </c>
      <c r="AA932"/>
      <c r="AB932"/>
      <c r="AC932" t="s">
        <v>243</v>
      </c>
      <c r="AD932"/>
    </row>
    <row r="933">
      <c r="A933" t="s">
        <v>30</v>
      </c>
      <c r="B933" t="s">
        <v>254</v>
      </c>
      <c r="C933" t="s">
        <v>1888</v>
      </c>
      <c r="D933" t="s">
        <v>464</v>
      </c>
      <c r="E933" t="s">
        <v>465</v>
      </c>
      <c r="F933" s="2">
        <v>46284</v>
      </c>
      <c r="G933">
        <v>1</v>
      </c>
      <c r="H933" t="s">
        <v>1889</v>
      </c>
      <c r="I933" t="s">
        <v>1890</v>
      </c>
      <c r="J933" t="s">
        <v>1891</v>
      </c>
      <c r="K933" t="s">
        <v>1892</v>
      </c>
      <c r="L933" t="s">
        <v>1893</v>
      </c>
      <c r="M933">
        <v>22</v>
      </c>
      <c r="N933">
        <v>22</v>
      </c>
      <c r="O933" t="s">
        <v>197</v>
      </c>
      <c r="P933">
        <v>3</v>
      </c>
      <c r="Q933">
        <f>N933/P933</f>
      </c>
      <c r="R933" s="1">
        <v>196</v>
      </c>
      <c r="S933" s="1">
        <v>196</v>
      </c>
      <c r="T933">
        <f>IF(R933=S933,"相符","不相符")</f>
      </c>
      <c r="U933"/>
      <c r="V933">
        <f>P933*R933</f>
      </c>
      <c r="W933">
        <f>Q933*V933</f>
      </c>
      <c r="X933">
        <v>1825</v>
      </c>
      <c r="Y933" t="s">
        <v>565</v>
      </c>
      <c r="Z933" t="s">
        <v>573</v>
      </c>
      <c r="AA933"/>
      <c r="AB933"/>
      <c r="AC933" t="s">
        <v>243</v>
      </c>
      <c r="AD933"/>
    </row>
    <row r="934">
      <c r="A934" t="s">
        <v>30</v>
      </c>
      <c r="B934" t="s">
        <v>233</v>
      </c>
      <c r="C934" t="s">
        <v>1888</v>
      </c>
      <c r="D934" t="s">
        <v>464</v>
      </c>
      <c r="E934" t="s">
        <v>465</v>
      </c>
      <c r="F934" s="2">
        <v>46284</v>
      </c>
      <c r="G934">
        <v>2</v>
      </c>
      <c r="H934" t="s">
        <v>874</v>
      </c>
      <c r="I934" t="s">
        <v>875</v>
      </c>
      <c r="J934" t="s">
        <v>251</v>
      </c>
      <c r="K934" t="s">
        <v>238</v>
      </c>
      <c r="L934" t="s">
        <v>876</v>
      </c>
      <c r="M934">
        <v>22</v>
      </c>
      <c r="N934">
        <v>22</v>
      </c>
      <c r="O934" t="s">
        <v>84</v>
      </c>
      <c r="P934">
        <v>1</v>
      </c>
      <c r="Q934">
        <f>N934/P934</f>
      </c>
      <c r="R934" s="1">
        <v>822</v>
      </c>
      <c r="S934" s="1">
        <v>822</v>
      </c>
      <c r="T934">
        <f>IF(R934=S934,"相符","不相符")</f>
      </c>
      <c r="U934"/>
      <c r="V934">
        <f>P934*R934</f>
      </c>
      <c r="W934">
        <f>Q934*V934</f>
      </c>
      <c r="X934">
        <v>1095</v>
      </c>
      <c r="Y934" t="s">
        <v>1814</v>
      </c>
      <c r="Z934" t="s">
        <v>573</v>
      </c>
      <c r="AA934"/>
      <c r="AB934"/>
      <c r="AC934" t="s">
        <v>243</v>
      </c>
      <c r="AD934"/>
    </row>
    <row r="935">
      <c r="A935" t="s">
        <v>30</v>
      </c>
      <c r="B935" t="s">
        <v>254</v>
      </c>
      <c r="C935" t="s">
        <v>1894</v>
      </c>
      <c r="D935" t="s">
        <v>567</v>
      </c>
      <c r="E935" t="s">
        <v>568</v>
      </c>
      <c r="F935" s="2">
        <v>46283</v>
      </c>
      <c r="G935">
        <v>1</v>
      </c>
      <c r="H935" t="s">
        <v>833</v>
      </c>
      <c r="I935" t="s">
        <v>834</v>
      </c>
      <c r="J935" t="s">
        <v>835</v>
      </c>
      <c r="K935" t="s">
        <v>258</v>
      </c>
      <c r="L935" t="s">
        <v>836</v>
      </c>
      <c r="M935">
        <v>83</v>
      </c>
      <c r="N935">
        <v>83</v>
      </c>
      <c r="O935" t="s">
        <v>84</v>
      </c>
      <c r="P935">
        <v>1</v>
      </c>
      <c r="Q935">
        <f>N935/P935</f>
      </c>
      <c r="R935" s="1">
        <v>642</v>
      </c>
      <c r="S935" s="1">
        <v>642</v>
      </c>
      <c r="T935">
        <f>IF(R935=S935,"相符","不相符")</f>
      </c>
      <c r="U935" t="s">
        <v>837</v>
      </c>
      <c r="V935">
        <f>P935*R935</f>
      </c>
      <c r="W935">
        <f>Q935*V935</f>
      </c>
      <c r="X935">
        <v>1825</v>
      </c>
      <c r="Y935" t="s">
        <v>606</v>
      </c>
      <c r="Z935" t="s">
        <v>573</v>
      </c>
      <c r="AA935"/>
      <c r="AB935"/>
      <c r="AC935" t="s">
        <v>243</v>
      </c>
      <c r="AD935"/>
    </row>
    <row r="936">
      <c r="A936" t="s">
        <v>30</v>
      </c>
      <c r="B936" t="s">
        <v>254</v>
      </c>
      <c r="C936" t="s">
        <v>1895</v>
      </c>
      <c r="D936" t="s">
        <v>1275</v>
      </c>
      <c r="E936" t="s">
        <v>1276</v>
      </c>
      <c r="F936" s="2">
        <v>46267</v>
      </c>
      <c r="G936">
        <v>1</v>
      </c>
      <c r="H936" t="s">
        <v>583</v>
      </c>
      <c r="I936" t="s">
        <v>584</v>
      </c>
      <c r="J936" t="s">
        <v>585</v>
      </c>
      <c r="K936" t="s">
        <v>491</v>
      </c>
      <c r="L936" t="s">
        <v>586</v>
      </c>
      <c r="M936">
        <v>2</v>
      </c>
      <c r="N936">
        <v>2</v>
      </c>
      <c r="O936" t="s">
        <v>84</v>
      </c>
      <c r="P936">
        <v>1</v>
      </c>
      <c r="Q936">
        <f>N936/P936</f>
      </c>
      <c r="R936" s="1">
        <v>569</v>
      </c>
      <c r="S936" s="1">
        <v>569</v>
      </c>
      <c r="T936">
        <f>IF(R936=S936,"相符","不相符")</f>
      </c>
      <c r="U936"/>
      <c r="V936">
        <f>P936*R936</f>
      </c>
      <c r="W936">
        <f>Q936*V936</f>
      </c>
      <c r="X936">
        <v>1825</v>
      </c>
      <c r="Y936" t="s">
        <v>1703</v>
      </c>
      <c r="Z936" t="s">
        <v>42</v>
      </c>
      <c r="AA936"/>
      <c r="AB936"/>
      <c r="AC936" t="s">
        <v>243</v>
      </c>
      <c r="AD936"/>
    </row>
    <row r="937">
      <c r="A937" t="s">
        <v>30</v>
      </c>
      <c r="B937" t="s">
        <v>254</v>
      </c>
      <c r="C937" t="s">
        <v>1895</v>
      </c>
      <c r="D937" t="s">
        <v>1275</v>
      </c>
      <c r="E937" t="s">
        <v>1276</v>
      </c>
      <c r="F937" s="2">
        <v>46267</v>
      </c>
      <c r="G937">
        <v>2</v>
      </c>
      <c r="H937" t="s">
        <v>599</v>
      </c>
      <c r="I937" t="s">
        <v>600</v>
      </c>
      <c r="J937" t="s">
        <v>601</v>
      </c>
      <c r="K937" t="s">
        <v>491</v>
      </c>
      <c r="L937" t="s">
        <v>602</v>
      </c>
      <c r="M937">
        <v>2</v>
      </c>
      <c r="N937">
        <v>2</v>
      </c>
      <c r="O937" t="s">
        <v>84</v>
      </c>
      <c r="P937">
        <v>1</v>
      </c>
      <c r="Q937">
        <f>N937/P937</f>
      </c>
      <c r="R937" s="1">
        <v>712</v>
      </c>
      <c r="S937" s="1">
        <v>712</v>
      </c>
      <c r="T937">
        <f>IF(R937=S937,"相符","不相符")</f>
      </c>
      <c r="U937" t="s">
        <v>578</v>
      </c>
      <c r="V937">
        <f>P937*R937</f>
      </c>
      <c r="W937">
        <f>Q937*V937</f>
      </c>
      <c r="X937">
        <v>1825</v>
      </c>
      <c r="Y937" t="s">
        <v>1703</v>
      </c>
      <c r="Z937" t="s">
        <v>42</v>
      </c>
      <c r="AA937"/>
      <c r="AB937"/>
      <c r="AC937" t="s">
        <v>243</v>
      </c>
      <c r="AD937"/>
    </row>
    <row r="938">
      <c r="A938" t="s">
        <v>30</v>
      </c>
      <c r="B938" t="s">
        <v>31</v>
      </c>
      <c r="C938" t="s">
        <v>1896</v>
      </c>
      <c r="D938" t="s">
        <v>1275</v>
      </c>
      <c r="E938" t="s">
        <v>1276</v>
      </c>
      <c r="F938" s="2">
        <v>46267</v>
      </c>
      <c r="G938">
        <v>1</v>
      </c>
      <c r="H938" t="s">
        <v>1277</v>
      </c>
      <c r="I938" t="s">
        <v>1278</v>
      </c>
      <c r="J938" t="s">
        <v>1279</v>
      </c>
      <c r="K938" t="s">
        <v>1280</v>
      </c>
      <c r="L938" t="s">
        <v>1281</v>
      </c>
      <c r="M938">
        <v>1</v>
      </c>
      <c r="N938">
        <v>1</v>
      </c>
      <c r="O938" t="s">
        <v>84</v>
      </c>
      <c r="P938">
        <v>1</v>
      </c>
      <c r="Q938">
        <f>N938/P938</f>
      </c>
      <c r="R938" s="1">
        <v>6727</v>
      </c>
      <c r="S938" s="1">
        <v>6727</v>
      </c>
      <c r="T938">
        <f>IF(R938=S938,"相符","不相符")</f>
      </c>
      <c r="U938" t="s">
        <v>1279</v>
      </c>
      <c r="V938">
        <f>P938*R938</f>
      </c>
      <c r="W938">
        <f>Q938*V938</f>
      </c>
      <c r="X938">
        <v>365</v>
      </c>
      <c r="Y938" t="s">
        <v>1897</v>
      </c>
      <c r="Z938" t="s">
        <v>42</v>
      </c>
      <c r="AA938"/>
      <c r="AB938"/>
      <c r="AC938" t="s">
        <v>43</v>
      </c>
      <c r="AD938"/>
    </row>
    <row r="939">
      <c r="A939" t="s">
        <v>30</v>
      </c>
      <c r="B939" t="s">
        <v>254</v>
      </c>
      <c r="C939" t="s">
        <v>1898</v>
      </c>
      <c r="D939" t="s">
        <v>464</v>
      </c>
      <c r="E939" t="s">
        <v>465</v>
      </c>
      <c r="F939" s="2">
        <v>46270</v>
      </c>
      <c r="G939">
        <v>1</v>
      </c>
      <c r="H939" t="s">
        <v>1723</v>
      </c>
      <c r="I939" t="s">
        <v>1724</v>
      </c>
      <c r="J939" t="s">
        <v>1725</v>
      </c>
      <c r="K939" t="s">
        <v>491</v>
      </c>
      <c r="L939" t="s">
        <v>1726</v>
      </c>
      <c r="M939">
        <v>16</v>
      </c>
      <c r="N939">
        <v>16</v>
      </c>
      <c r="O939" t="s">
        <v>197</v>
      </c>
      <c r="P939">
        <v>8</v>
      </c>
      <c r="Q939">
        <f>N939/P939</f>
      </c>
      <c r="R939" s="1">
        <v>82</v>
      </c>
      <c r="S939" s="1">
        <v>82</v>
      </c>
      <c r="T939">
        <f>IF(R939=S939,"相符","不相符")</f>
      </c>
      <c r="U939" t="s">
        <v>1727</v>
      </c>
      <c r="V939">
        <f>P939*R939</f>
      </c>
      <c r="W939">
        <f>Q939*V939</f>
      </c>
      <c r="X939">
        <v>1825</v>
      </c>
      <c r="Y939" t="s">
        <v>1397</v>
      </c>
      <c r="Z939" t="s">
        <v>42</v>
      </c>
      <c r="AA939"/>
      <c r="AB939"/>
      <c r="AC939" t="s">
        <v>243</v>
      </c>
      <c r="AD939"/>
    </row>
    <row r="940">
      <c r="A940" t="s">
        <v>30</v>
      </c>
      <c r="B940" t="s">
        <v>254</v>
      </c>
      <c r="C940" t="s">
        <v>1899</v>
      </c>
      <c r="D940" t="s">
        <v>567</v>
      </c>
      <c r="E940" t="s">
        <v>568</v>
      </c>
      <c r="F940" s="2">
        <v>46283</v>
      </c>
      <c r="G940">
        <v>1</v>
      </c>
      <c r="H940" t="s">
        <v>1365</v>
      </c>
      <c r="I940" t="s">
        <v>1366</v>
      </c>
      <c r="J940" t="s">
        <v>879</v>
      </c>
      <c r="K940" t="s">
        <v>491</v>
      </c>
      <c r="L940" t="s">
        <v>1367</v>
      </c>
      <c r="M940">
        <v>10</v>
      </c>
      <c r="N940">
        <v>10</v>
      </c>
      <c r="O940" t="s">
        <v>84</v>
      </c>
      <c r="P940">
        <v>1</v>
      </c>
      <c r="Q940">
        <f>N940/P940</f>
      </c>
      <c r="R940" s="1">
        <v>1100</v>
      </c>
      <c r="S940" s="1">
        <v>1100</v>
      </c>
      <c r="T940">
        <f>IF(R940=S940,"相符","不相符")</f>
      </c>
      <c r="U940" t="s">
        <v>879</v>
      </c>
      <c r="V940">
        <f>P940*R940</f>
      </c>
      <c r="W940">
        <f>Q940*V940</f>
      </c>
      <c r="X940">
        <v>1825</v>
      </c>
      <c r="Y940" t="s">
        <v>606</v>
      </c>
      <c r="Z940" t="s">
        <v>1900</v>
      </c>
      <c r="AA940"/>
      <c r="AB940"/>
      <c r="AC940" t="s">
        <v>243</v>
      </c>
      <c r="AD940"/>
    </row>
    <row r="941">
      <c r="A941" t="s">
        <v>30</v>
      </c>
      <c r="B941"/>
      <c r="C941" t="s">
        <v>1901</v>
      </c>
      <c r="D941" t="s">
        <v>191</v>
      </c>
      <c r="E941" t="s">
        <v>192</v>
      </c>
      <c r="F941" s="2">
        <v>46281</v>
      </c>
      <c r="G941">
        <v>1</v>
      </c>
      <c r="H941" t="s">
        <v>1902</v>
      </c>
      <c r="I941" t="s">
        <v>1903</v>
      </c>
      <c r="J941"/>
      <c r="K941"/>
      <c r="L941" t="s">
        <v>1904</v>
      </c>
      <c r="M941">
        <v>5</v>
      </c>
      <c r="N941">
        <v>5</v>
      </c>
      <c r="O941"/>
      <c r="P941">
        <v>0</v>
      </c>
      <c r="Q941">
        <f>N941/P941</f>
      </c>
      <c r="R941" s="1">
        <v>1712</v>
      </c>
      <c r="S941" s="1">
        <v>0</v>
      </c>
      <c r="T941">
        <f>IF(R941=S941,"相符","不相符")</f>
      </c>
      <c r="U941"/>
      <c r="V941">
        <f>P941*R941</f>
      </c>
      <c r="W941">
        <f>Q941*V941</f>
      </c>
      <c r="X941">
        <v>0</v>
      </c>
      <c r="Y941" t="s">
        <v>1905</v>
      </c>
      <c r="Z941" t="s">
        <v>1900</v>
      </c>
      <c r="AA941"/>
      <c r="AB941"/>
      <c r="AC941"/>
      <c r="AD941"/>
    </row>
    <row r="942">
      <c r="A942" t="s">
        <v>30</v>
      </c>
      <c r="B942" t="s">
        <v>254</v>
      </c>
      <c r="C942" t="s">
        <v>1906</v>
      </c>
      <c r="D942" t="s">
        <v>464</v>
      </c>
      <c r="E942" t="s">
        <v>465</v>
      </c>
      <c r="F942" s="2">
        <v>46274</v>
      </c>
      <c r="G942">
        <v>1</v>
      </c>
      <c r="H942" t="s">
        <v>1248</v>
      </c>
      <c r="I942" t="s">
        <v>1249</v>
      </c>
      <c r="J942" t="s">
        <v>1250</v>
      </c>
      <c r="K942" t="s">
        <v>491</v>
      </c>
      <c r="L942" t="s">
        <v>1251</v>
      </c>
      <c r="M942">
        <v>648</v>
      </c>
      <c r="N942">
        <v>648</v>
      </c>
      <c r="O942" t="s">
        <v>197</v>
      </c>
      <c r="P942">
        <v>8</v>
      </c>
      <c r="Q942">
        <f>N942/P942</f>
      </c>
      <c r="R942" s="1">
        <v>82</v>
      </c>
      <c r="S942" s="1">
        <v>82</v>
      </c>
      <c r="T942">
        <f>IF(R942=S942,"相符","不相符")</f>
      </c>
      <c r="U942" t="s">
        <v>1252</v>
      </c>
      <c r="V942">
        <f>P942*R942</f>
      </c>
      <c r="W942">
        <f>Q942*V942</f>
      </c>
      <c r="X942">
        <v>1825</v>
      </c>
      <c r="Y942" t="s">
        <v>991</v>
      </c>
      <c r="Z942" t="s">
        <v>242</v>
      </c>
      <c r="AA942"/>
      <c r="AB942"/>
      <c r="AC942" t="s">
        <v>243</v>
      </c>
      <c r="AD942"/>
    </row>
    <row r="943">
      <c r="A943" t="s">
        <v>30</v>
      </c>
      <c r="B943" t="s">
        <v>254</v>
      </c>
      <c r="C943" t="s">
        <v>1906</v>
      </c>
      <c r="D943" t="s">
        <v>464</v>
      </c>
      <c r="E943" t="s">
        <v>465</v>
      </c>
      <c r="F943" s="2">
        <v>46274</v>
      </c>
      <c r="G943">
        <v>2</v>
      </c>
      <c r="H943" t="s">
        <v>1723</v>
      </c>
      <c r="I943" t="s">
        <v>1724</v>
      </c>
      <c r="J943" t="s">
        <v>1725</v>
      </c>
      <c r="K943" t="s">
        <v>491</v>
      </c>
      <c r="L943" t="s">
        <v>1726</v>
      </c>
      <c r="M943">
        <v>52</v>
      </c>
      <c r="N943">
        <v>52</v>
      </c>
      <c r="O943" t="s">
        <v>197</v>
      </c>
      <c r="P943">
        <v>8</v>
      </c>
      <c r="Q943">
        <f>N943/P943</f>
      </c>
      <c r="R943" s="1">
        <v>82</v>
      </c>
      <c r="S943" s="1">
        <v>82</v>
      </c>
      <c r="T943">
        <f>IF(R943=S943,"相符","不相符")</f>
      </c>
      <c r="U943" t="s">
        <v>1727</v>
      </c>
      <c r="V943">
        <f>P943*R943</f>
      </c>
      <c r="W943">
        <f>Q943*V943</f>
      </c>
      <c r="X943">
        <v>1825</v>
      </c>
      <c r="Y943" t="s">
        <v>991</v>
      </c>
      <c r="Z943" t="s">
        <v>242</v>
      </c>
      <c r="AA943"/>
      <c r="AB943"/>
      <c r="AC943" t="s">
        <v>243</v>
      </c>
      <c r="AD943"/>
    </row>
    <row r="944">
      <c r="A944" t="s">
        <v>30</v>
      </c>
      <c r="B944" t="s">
        <v>233</v>
      </c>
      <c r="C944" t="s">
        <v>1906</v>
      </c>
      <c r="D944" t="s">
        <v>464</v>
      </c>
      <c r="E944" t="s">
        <v>465</v>
      </c>
      <c r="F944" s="2">
        <v>46274</v>
      </c>
      <c r="G944">
        <v>3</v>
      </c>
      <c r="H944" t="s">
        <v>1872</v>
      </c>
      <c r="I944" t="s">
        <v>1873</v>
      </c>
      <c r="J944" t="s">
        <v>1312</v>
      </c>
      <c r="K944" t="s">
        <v>238</v>
      </c>
      <c r="L944" t="s">
        <v>1874</v>
      </c>
      <c r="M944">
        <v>12</v>
      </c>
      <c r="N944">
        <v>12</v>
      </c>
      <c r="O944" t="s">
        <v>84</v>
      </c>
      <c r="P944">
        <v>1</v>
      </c>
      <c r="Q944">
        <f>N944/P944</f>
      </c>
      <c r="R944" s="1">
        <v>773</v>
      </c>
      <c r="S944" s="1">
        <v>773</v>
      </c>
      <c r="T944">
        <f>IF(R944=S944,"相符","不相符")</f>
      </c>
      <c r="U944"/>
      <c r="V944">
        <f>P944*R944</f>
      </c>
      <c r="W944">
        <f>Q944*V944</f>
      </c>
      <c r="X944">
        <v>1095</v>
      </c>
      <c r="Y944" t="s">
        <v>1124</v>
      </c>
      <c r="Z944" t="s">
        <v>242</v>
      </c>
      <c r="AA944"/>
      <c r="AB944"/>
      <c r="AC944" t="s">
        <v>243</v>
      </c>
      <c r="AD944"/>
    </row>
    <row r="945">
      <c r="A945" t="s">
        <v>30</v>
      </c>
      <c r="B945" t="s">
        <v>233</v>
      </c>
      <c r="C945" t="s">
        <v>1906</v>
      </c>
      <c r="D945" t="s">
        <v>464</v>
      </c>
      <c r="E945" t="s">
        <v>465</v>
      </c>
      <c r="F945" s="2">
        <v>46274</v>
      </c>
      <c r="G945">
        <v>4</v>
      </c>
      <c r="H945" t="s">
        <v>1444</v>
      </c>
      <c r="I945" t="s">
        <v>1445</v>
      </c>
      <c r="J945" t="s">
        <v>482</v>
      </c>
      <c r="K945" t="s">
        <v>238</v>
      </c>
      <c r="L945" t="s">
        <v>1446</v>
      </c>
      <c r="M945">
        <v>12</v>
      </c>
      <c r="N945">
        <v>12</v>
      </c>
      <c r="O945" t="s">
        <v>84</v>
      </c>
      <c r="P945">
        <v>1</v>
      </c>
      <c r="Q945">
        <f>N945/P945</f>
      </c>
      <c r="R945" s="1">
        <v>1002</v>
      </c>
      <c r="S945" s="1">
        <v>1002</v>
      </c>
      <c r="T945">
        <f>IF(R945=S945,"相符","不相符")</f>
      </c>
      <c r="U945"/>
      <c r="V945">
        <f>P945*R945</f>
      </c>
      <c r="W945">
        <f>Q945*V945</f>
      </c>
      <c r="X945">
        <v>1095</v>
      </c>
      <c r="Y945" t="s">
        <v>1124</v>
      </c>
      <c r="Z945" t="s">
        <v>242</v>
      </c>
      <c r="AA945"/>
      <c r="AB945"/>
      <c r="AC945" t="s">
        <v>243</v>
      </c>
      <c r="AD945"/>
    </row>
    <row r="946">
      <c r="A946" t="s">
        <v>30</v>
      </c>
      <c r="B946" t="s">
        <v>254</v>
      </c>
      <c r="C946" t="s">
        <v>1907</v>
      </c>
      <c r="D946" t="s">
        <v>205</v>
      </c>
      <c r="E946" t="s">
        <v>206</v>
      </c>
      <c r="F946" s="2">
        <v>46277</v>
      </c>
      <c r="G946">
        <v>1</v>
      </c>
      <c r="H946" t="s">
        <v>583</v>
      </c>
      <c r="I946" t="s">
        <v>584</v>
      </c>
      <c r="J946" t="s">
        <v>585</v>
      </c>
      <c r="K946" t="s">
        <v>491</v>
      </c>
      <c r="L946" t="s">
        <v>586</v>
      </c>
      <c r="M946">
        <v>36</v>
      </c>
      <c r="N946">
        <v>36</v>
      </c>
      <c r="O946" t="s">
        <v>84</v>
      </c>
      <c r="P946">
        <v>1</v>
      </c>
      <c r="Q946">
        <f>N946/P946</f>
      </c>
      <c r="R946" s="1">
        <v>569</v>
      </c>
      <c r="S946" s="1">
        <v>569</v>
      </c>
      <c r="T946">
        <f>IF(R946=S946,"相符","不相符")</f>
      </c>
      <c r="U946"/>
      <c r="V946">
        <f>P946*R946</f>
      </c>
      <c r="W946">
        <f>Q946*V946</f>
      </c>
      <c r="X946">
        <v>1825</v>
      </c>
      <c r="Y946" t="s">
        <v>269</v>
      </c>
      <c r="Z946" t="s">
        <v>242</v>
      </c>
      <c r="AA946"/>
      <c r="AB946"/>
      <c r="AC946" t="s">
        <v>243</v>
      </c>
      <c r="AD946"/>
    </row>
    <row r="947">
      <c r="A947" t="s">
        <v>30</v>
      </c>
      <c r="B947" t="s">
        <v>254</v>
      </c>
      <c r="C947" t="s">
        <v>1907</v>
      </c>
      <c r="D947" t="s">
        <v>205</v>
      </c>
      <c r="E947" t="s">
        <v>206</v>
      </c>
      <c r="F947" s="2">
        <v>46277</v>
      </c>
      <c r="G947">
        <v>2</v>
      </c>
      <c r="H947" t="s">
        <v>1880</v>
      </c>
      <c r="I947" t="s">
        <v>1881</v>
      </c>
      <c r="J947" t="s">
        <v>1700</v>
      </c>
      <c r="K947" t="s">
        <v>491</v>
      </c>
      <c r="L947" t="s">
        <v>1882</v>
      </c>
      <c r="M947">
        <v>12</v>
      </c>
      <c r="N947">
        <v>12</v>
      </c>
      <c r="O947" t="s">
        <v>84</v>
      </c>
      <c r="P947">
        <v>1</v>
      </c>
      <c r="Q947">
        <f>N947/P947</f>
      </c>
      <c r="R947" s="1">
        <v>1048</v>
      </c>
      <c r="S947" s="1">
        <v>1048</v>
      </c>
      <c r="T947">
        <f>IF(R947=S947,"相符","不相符")</f>
      </c>
      <c r="U947" t="s">
        <v>1883</v>
      </c>
      <c r="V947">
        <f>P947*R947</f>
      </c>
      <c r="W947">
        <f>Q947*V947</f>
      </c>
      <c r="X947">
        <v>1825</v>
      </c>
      <c r="Y947" t="s">
        <v>269</v>
      </c>
      <c r="Z947" t="s">
        <v>242</v>
      </c>
      <c r="AA947"/>
      <c r="AB947"/>
      <c r="AC947" t="s">
        <v>243</v>
      </c>
      <c r="AD947"/>
    </row>
    <row r="948">
      <c r="A948" t="s">
        <v>30</v>
      </c>
      <c r="B948" t="s">
        <v>254</v>
      </c>
      <c r="C948" t="s">
        <v>1907</v>
      </c>
      <c r="D948" t="s">
        <v>205</v>
      </c>
      <c r="E948" t="s">
        <v>206</v>
      </c>
      <c r="F948" s="2">
        <v>46277</v>
      </c>
      <c r="G948">
        <v>3</v>
      </c>
      <c r="H948" t="s">
        <v>862</v>
      </c>
      <c r="I948" t="s">
        <v>863</v>
      </c>
      <c r="J948" t="s">
        <v>864</v>
      </c>
      <c r="K948" t="s">
        <v>491</v>
      </c>
      <c r="L948" t="s">
        <v>865</v>
      </c>
      <c r="M948">
        <v>12</v>
      </c>
      <c r="N948">
        <v>12</v>
      </c>
      <c r="O948" t="s">
        <v>84</v>
      </c>
      <c r="P948">
        <v>1</v>
      </c>
      <c r="Q948">
        <f>N948/P948</f>
      </c>
      <c r="R948" s="1">
        <v>1097</v>
      </c>
      <c r="S948" s="1">
        <v>1097</v>
      </c>
      <c r="T948">
        <f>IF(R948=S948,"相符","不相符")</f>
      </c>
      <c r="U948" t="s">
        <v>866</v>
      </c>
      <c r="V948">
        <f>P948*R948</f>
      </c>
      <c r="W948">
        <f>Q948*V948</f>
      </c>
      <c r="X948">
        <v>1825</v>
      </c>
      <c r="Y948" t="s">
        <v>269</v>
      </c>
      <c r="Z948" t="s">
        <v>242</v>
      </c>
      <c r="AA948"/>
      <c r="AB948"/>
      <c r="AC948" t="s">
        <v>243</v>
      </c>
      <c r="AD94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2026-09-11T16:07:59Z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