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工作表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7" max="7"/>
  </cols>
  <sheetData>
    <row r="1">
      <c r="A1" s="1" t="inlineStr">
        <is>
          <t>skuid</t>
        </is>
      </c>
      <c r="B1" s="1" t="inlineStr">
        <is>
          <t>Category</t>
        </is>
      </c>
      <c r="C1" s="1" t="inlineStr">
        <is>
          <t>Brand</t>
        </is>
      </c>
      <c r="D1" s="1" t="inlineStr">
        <is>
          <t>Pgcode</t>
        </is>
      </c>
      <c r="E1" s="1" t="inlineStr">
        <is>
          <t>Barcode</t>
        </is>
      </c>
      <c r="F1" s="1" t="inlineStr">
        <is>
          <t>永豐料號</t>
        </is>
      </c>
      <c r="G1" s="1" t="inlineStr">
        <is>
          <t>SKU Name</t>
        </is>
      </c>
      <c r="H1" s="1" t="inlineStr">
        <is>
          <t>COGS (pcs/ w. TAX)</t>
        </is>
      </c>
      <c r="I1" s="1" t="inlineStr">
        <is>
          <t>Note</t>
        </is>
      </c>
      <c r="J1" s="1" t="inlineStr">
        <is>
          <t>箱入數</t>
        </is>
      </c>
      <c r="K1" s="1" t="inlineStr">
        <is>
          <t>GIV</t>
        </is>
      </c>
      <c r="L1" s="1" t="inlineStr">
        <is>
          <t>NIV</t>
        </is>
      </c>
      <c r="M1" s="1" t="inlineStr">
        <is>
          <t>Supply_CS (Jul)</t>
        </is>
      </c>
      <c r="N1" s="1" t="inlineStr">
        <is>
          <t>Supply_CS (Aug)</t>
        </is>
      </c>
      <c r="O1" s="1" t="inlineStr">
        <is>
          <t>Supply_CS (Sep)</t>
        </is>
      </c>
      <c r="P1" s="1" t="inlineStr">
        <is>
          <t>Supply_PCS (Jul)</t>
        </is>
      </c>
      <c r="Q1" s="1" t="inlineStr">
        <is>
          <t>Supply_PCS (Aug)</t>
        </is>
      </c>
      <c r="R1" s="1" t="inlineStr">
        <is>
          <t>Supply_PCS (Sep)</t>
        </is>
      </c>
      <c r="S1" s="1" t="inlineStr">
        <is>
          <t>Supply_CS (Oct)</t>
        </is>
      </c>
      <c r="T1" s="1" t="inlineStr">
        <is>
          <t>Supply_CS (Nov)</t>
        </is>
      </c>
      <c r="U1" s="1" t="inlineStr">
        <is>
          <t>Supply_CS (Dec)</t>
        </is>
      </c>
      <c r="V1" s="1" t="inlineStr">
        <is>
          <t>8/4交貨</t>
        </is>
      </c>
      <c r="W1" s="1" t="inlineStr">
        <is>
          <t>8/12交貨</t>
        </is>
      </c>
      <c r="X1" s="1" t="inlineStr">
        <is>
          <t>8/19交貨</t>
        </is>
      </c>
      <c r="Y1" s="1" t="inlineStr">
        <is>
          <t>8/25交貨</t>
        </is>
      </c>
      <c r="Z1" s="1" t="inlineStr">
        <is>
          <t>8月TTL下單總箱數</t>
        </is>
      </c>
      <c r="AA1" s="1" t="inlineStr">
        <is>
          <t>9/2交貨</t>
        </is>
      </c>
      <c r="AB1" s="1" t="inlineStr">
        <is>
          <t>9/4交貨</t>
        </is>
      </c>
      <c r="AC1" s="1" t="inlineStr">
        <is>
          <t>9/8交貨</t>
        </is>
      </c>
      <c r="AD1" s="1" t="inlineStr">
        <is>
          <t>9/11交貨</t>
        </is>
      </c>
      <c r="AE1" s="1" t="inlineStr">
        <is>
          <t>9/15交貨</t>
        </is>
      </c>
      <c r="AF1" s="1" t="inlineStr">
        <is>
          <t>9/交貨</t>
        </is>
      </c>
      <c r="AG1" s="1" t="inlineStr">
        <is>
          <t>9/交貨</t>
        </is>
      </c>
      <c r="AH1" s="1" t="inlineStr">
        <is>
          <t>9月TTL下單總箱數</t>
        </is>
      </c>
      <c r="AI1" s="1" t="inlineStr">
        <is>
          <t>PG剩餘
可供貨量(CS)</t>
        </is>
      </c>
      <c r="AJ1" s="1" t="inlineStr">
        <is>
          <t>目前在途</t>
        </is>
      </c>
      <c r="AK1" s="1" t="inlineStr">
        <is>
          <t>目前庫存數量</t>
        </is>
      </c>
    </row>
    <row r="2">
      <c r="A2" t="inlineStr">
        <is>
          <t>518390495072451</t>
        </is>
      </c>
      <c r="B2" t="inlineStr">
        <is>
          <t>Fabric</t>
        </is>
      </c>
      <c r="C2" t="inlineStr">
        <is>
          <t>柔柔香</t>
        </is>
      </c>
      <c r="D2" t="inlineStr">
        <is>
          <t>80899181</t>
        </is>
      </c>
      <c r="E2" t="inlineStr">
        <is>
          <t>4902199351818</t>
        </is>
      </c>
      <c r="F2" t="inlineStr">
        <is>
          <t>4902199351818</t>
        </is>
      </c>
      <c r="G2" t="inlineStr">
        <is>
          <t>柔柔香 衣物芳香豆 暖陽 940ml</t>
        </is>
      </c>
      <c r="H2" t="n">
        <v>272</v>
      </c>
      <c r="J2" t="n">
        <v>8</v>
      </c>
      <c r="K2" t="n">
        <v>1795.2</v>
      </c>
      <c r="L2" t="n">
        <v>1740.8</v>
      </c>
      <c r="M2" t="n">
        <v>231</v>
      </c>
      <c r="N2" t="n">
        <v>175</v>
      </c>
      <c r="O2" t="n">
        <v>397</v>
      </c>
      <c r="V2" t="n">
        <v>48</v>
      </c>
      <c r="X2" t="n">
        <v>48</v>
      </c>
      <c r="Y2" t="n">
        <v>120</v>
      </c>
      <c r="Z2">
        <f>SUM(V2:Y2)</f>
        <v/>
      </c>
      <c r="AH2">
        <f>SUM(AA2:AG2)</f>
        <v/>
      </c>
      <c r="AI2">
        <f>O2-AH2</f>
        <v/>
      </c>
      <c r="AJ2">
        <f>SUM(AA2:AC2)</f>
        <v/>
      </c>
      <c r="AK2" t="n">
        <v>62</v>
      </c>
    </row>
    <row r="3">
      <c r="A3" t="inlineStr">
        <is>
          <t>535300769207335</t>
        </is>
      </c>
      <c r="B3" t="inlineStr">
        <is>
          <t>Fabric</t>
        </is>
      </c>
      <c r="C3" t="inlineStr">
        <is>
          <t>柔柔香</t>
        </is>
      </c>
      <c r="D3" t="inlineStr">
        <is>
          <t>80885290</t>
        </is>
      </c>
      <c r="E3" t="inlineStr">
        <is>
          <t>4908657975435</t>
        </is>
      </c>
      <c r="F3" t="inlineStr">
        <is>
          <t>4908657975435</t>
        </is>
      </c>
      <c r="G3" t="inlineStr">
        <is>
          <t>柔柔香 衣物芳香豆 抗臭 880ml</t>
        </is>
      </c>
      <c r="H3" t="n">
        <v>272</v>
      </c>
      <c r="I3" t="inlineStr">
        <is>
          <t>控貨</t>
        </is>
      </c>
      <c r="J3" t="n">
        <v>8</v>
      </c>
      <c r="K3" t="n">
        <v>1795.2</v>
      </c>
      <c r="L3" t="n">
        <v>1740.8</v>
      </c>
      <c r="M3" t="n">
        <v>311</v>
      </c>
      <c r="N3" t="n">
        <v>369</v>
      </c>
      <c r="O3" t="n">
        <v>208</v>
      </c>
      <c r="W3" t="n">
        <v>120</v>
      </c>
      <c r="X3" t="n">
        <v>48</v>
      </c>
      <c r="Z3">
        <f>SUM(V3:Y3)</f>
        <v/>
      </c>
      <c r="AH3">
        <f>SUM(AA3:AG3)</f>
        <v/>
      </c>
      <c r="AI3">
        <f>O3-AH3</f>
        <v/>
      </c>
      <c r="AJ3">
        <f>SUM(AA3:AC3)</f>
        <v/>
      </c>
      <c r="AK3" t="n">
        <v>192</v>
      </c>
    </row>
    <row r="4">
      <c r="A4" t="inlineStr">
        <is>
          <t>540217274347253</t>
        </is>
      </c>
      <c r="B4" t="inlineStr">
        <is>
          <t>Fabric</t>
        </is>
      </c>
      <c r="C4" t="inlineStr">
        <is>
          <t>雪白洗衣</t>
        </is>
      </c>
      <c r="D4" t="inlineStr">
        <is>
          <t>80864810</t>
        </is>
      </c>
      <c r="E4" t="inlineStr">
        <is>
          <t>4905260181598</t>
        </is>
      </c>
      <c r="F4" t="inlineStr">
        <is>
          <t>4905260181598</t>
        </is>
      </c>
      <c r="G4" t="inlineStr">
        <is>
          <t>雪白 4D 洗衣膠囊 薰衣草 30顆</t>
        </is>
      </c>
      <c r="H4" t="n">
        <v>202</v>
      </c>
      <c r="I4" t="inlineStr">
        <is>
          <t>新品</t>
        </is>
      </c>
      <c r="J4" t="n">
        <v>6</v>
      </c>
      <c r="K4" t="n">
        <v>1333.2</v>
      </c>
      <c r="L4" t="n">
        <v>1292.8</v>
      </c>
      <c r="M4" t="n">
        <v>374</v>
      </c>
      <c r="N4" t="n">
        <v>261</v>
      </c>
      <c r="O4" t="n">
        <v>351</v>
      </c>
      <c r="V4" t="n">
        <v>120</v>
      </c>
      <c r="X4" t="n">
        <v>120</v>
      </c>
      <c r="Z4">
        <f>SUM(V4:Y4)</f>
        <v/>
      </c>
      <c r="AH4">
        <f>SUM(AA4:AG4)</f>
        <v/>
      </c>
      <c r="AI4">
        <f>O4-AH4</f>
        <v/>
      </c>
      <c r="AJ4">
        <f>SUM(AA4:AC4)</f>
        <v/>
      </c>
      <c r="AK4" t="n">
        <v>273</v>
      </c>
    </row>
    <row r="5">
      <c r="A5" t="inlineStr">
        <is>
          <t>598302941156152</t>
        </is>
      </c>
      <c r="B5" t="inlineStr">
        <is>
          <t>Fabric</t>
        </is>
      </c>
      <c r="C5" t="inlineStr">
        <is>
          <t>雪白洗衣</t>
        </is>
      </c>
      <c r="D5" t="inlineStr">
        <is>
          <t>80886748</t>
        </is>
      </c>
      <c r="E5" t="inlineStr">
        <is>
          <t>4901318609137</t>
        </is>
      </c>
      <c r="F5" t="inlineStr">
        <is>
          <t>4901318609137</t>
        </is>
      </c>
      <c r="G5" t="inlineStr">
        <is>
          <t>雪白 4D 洗衣膠囊 森林 30顆</t>
        </is>
      </c>
      <c r="H5" t="n">
        <v>202</v>
      </c>
      <c r="J5" t="n">
        <v>6</v>
      </c>
      <c r="K5" t="n">
        <v>1333.2</v>
      </c>
      <c r="L5" t="n">
        <v>1292.8</v>
      </c>
      <c r="M5" t="n">
        <v>376</v>
      </c>
      <c r="N5" t="n">
        <v>161</v>
      </c>
      <c r="O5" t="n">
        <v>351</v>
      </c>
      <c r="W5" t="n">
        <v>120</v>
      </c>
      <c r="X5" t="n">
        <v>120</v>
      </c>
      <c r="Y5" t="n">
        <v>120</v>
      </c>
      <c r="Z5">
        <f>SUM(V5:Y5)</f>
        <v/>
      </c>
      <c r="AH5">
        <f>SUM(AA5:AG5)</f>
        <v/>
      </c>
      <c r="AI5">
        <f>O5-AH5</f>
        <v/>
      </c>
      <c r="AJ5">
        <f>SUM(AA5:AC5)</f>
        <v/>
      </c>
      <c r="AK5" t="n">
        <v>69</v>
      </c>
    </row>
    <row r="6">
      <c r="A6" t="inlineStr">
        <is>
          <t>526576601023468</t>
        </is>
      </c>
      <c r="B6" t="inlineStr">
        <is>
          <t>Fabric</t>
        </is>
      </c>
      <c r="C6" t="inlineStr">
        <is>
          <t>雪白洗衣</t>
        </is>
      </c>
      <c r="D6" t="inlineStr">
        <is>
          <t>80899391</t>
        </is>
      </c>
      <c r="E6" t="inlineStr">
        <is>
          <t>14906030824622</t>
        </is>
      </c>
      <c r="F6" t="inlineStr">
        <is>
          <t>4906030824622</t>
        </is>
      </c>
      <c r="G6" t="inlineStr">
        <is>
          <t>[箱裝]雪白 抗菌洗衣精 補充包 1.5L, 6包</t>
        </is>
      </c>
      <c r="H6" t="n">
        <v>1158</v>
      </c>
      <c r="I6" t="inlineStr">
        <is>
          <t>不可超打</t>
        </is>
      </c>
      <c r="J6" t="n">
        <v>1</v>
      </c>
      <c r="K6" t="n">
        <v>7642.8</v>
      </c>
      <c r="L6" t="n">
        <v>7411.2</v>
      </c>
      <c r="M6" t="n">
        <v>169</v>
      </c>
      <c r="N6" t="n">
        <v>371</v>
      </c>
      <c r="O6" t="n">
        <v>494</v>
      </c>
      <c r="V6" t="n">
        <v>24</v>
      </c>
      <c r="X6" t="n">
        <v>24</v>
      </c>
      <c r="Y6" t="n">
        <v>120</v>
      </c>
      <c r="Z6">
        <f>SUM(V6:Y6)</f>
        <v/>
      </c>
      <c r="AH6">
        <f>SUM(AA6:AG6)</f>
        <v/>
      </c>
      <c r="AI6">
        <f>O6-AH6</f>
        <v/>
      </c>
      <c r="AJ6">
        <f>SUM(AA6:AC6)</f>
        <v/>
      </c>
      <c r="AK6" t="n">
        <v>161</v>
      </c>
    </row>
    <row r="7">
      <c r="A7" t="inlineStr">
        <is>
          <t>568847545657276</t>
        </is>
      </c>
      <c r="B7" t="inlineStr">
        <is>
          <t>Baby</t>
        </is>
      </c>
      <c r="C7" t="inlineStr">
        <is>
          <t>寶貝適</t>
        </is>
      </c>
      <c r="D7" t="inlineStr">
        <is>
          <t>80874089</t>
        </is>
      </c>
      <c r="E7" t="inlineStr">
        <is>
          <t>4904875749117</t>
        </is>
      </c>
      <c r="F7" t="inlineStr">
        <is>
          <t>4904875749117</t>
        </is>
      </c>
      <c r="G7" t="inlineStr">
        <is>
          <t>寶貝適 一級幫 黏貼型 M 60片</t>
        </is>
      </c>
      <c r="H7" t="n">
        <v>589</v>
      </c>
      <c r="J7" t="n">
        <v>4</v>
      </c>
      <c r="K7" t="n">
        <v>3887.4</v>
      </c>
      <c r="L7" t="n">
        <v>3769.6</v>
      </c>
      <c r="M7" t="n">
        <v>149</v>
      </c>
      <c r="N7" t="n">
        <v>161</v>
      </c>
      <c r="O7" t="n">
        <v>478</v>
      </c>
      <c r="Z7">
        <f>SUM(V7:Y7)</f>
        <v/>
      </c>
      <c r="AH7">
        <f>SUM(AA7:AG7)</f>
        <v/>
      </c>
      <c r="AI7">
        <f>O7-AH7</f>
        <v/>
      </c>
      <c r="AJ7">
        <f>SUM(AA7:AC7)</f>
        <v/>
      </c>
      <c r="AK7" t="n">
        <v>67</v>
      </c>
    </row>
    <row r="8">
      <c r="A8" t="inlineStr">
        <is>
          <t>591615101760587</t>
        </is>
      </c>
      <c r="B8" t="inlineStr">
        <is>
          <t>Baby</t>
        </is>
      </c>
      <c r="C8" t="inlineStr">
        <is>
          <t>寶貝適</t>
        </is>
      </c>
      <c r="D8" t="inlineStr">
        <is>
          <t>80822267</t>
        </is>
      </c>
      <c r="E8" t="inlineStr">
        <is>
          <t>14906018955591</t>
        </is>
      </c>
      <c r="F8" t="inlineStr">
        <is>
          <t>4906018955591</t>
        </is>
      </c>
      <c r="G8" t="inlineStr">
        <is>
          <t>[箱裝]寶貝適 一級幫 拉拉褲 L 44片, 4包</t>
        </is>
      </c>
      <c r="H8" t="n">
        <v>2356</v>
      </c>
      <c r="J8" t="n">
        <v>1</v>
      </c>
      <c r="K8" t="n">
        <v>15549.6</v>
      </c>
      <c r="L8" t="n">
        <v>15078.4</v>
      </c>
      <c r="M8" t="n">
        <v>95</v>
      </c>
      <c r="N8" t="n">
        <v>182</v>
      </c>
      <c r="O8" t="n">
        <v>278</v>
      </c>
      <c r="W8" t="n">
        <v>48</v>
      </c>
      <c r="X8" t="n">
        <v>48</v>
      </c>
      <c r="Y8" t="n">
        <v>120</v>
      </c>
      <c r="Z8">
        <f>SUM(V8:Y8)</f>
        <v/>
      </c>
      <c r="AH8">
        <f>SUM(AA8:AG8)</f>
        <v/>
      </c>
      <c r="AI8">
        <f>O8-AH8</f>
        <v/>
      </c>
      <c r="AJ8">
        <f>SUM(AA8:AC8)</f>
        <v/>
      </c>
      <c r="AK8" t="n">
        <v>64</v>
      </c>
    </row>
    <row r="9">
      <c r="A9" t="inlineStr">
        <is>
          <t>513175471207997</t>
        </is>
      </c>
      <c r="B9" t="inlineStr">
        <is>
          <t>Fem</t>
        </is>
      </c>
      <c r="C9" t="inlineStr">
        <is>
          <t>好安心</t>
        </is>
      </c>
      <c r="D9" t="inlineStr">
        <is>
          <t>80890074</t>
        </is>
      </c>
      <c r="E9" t="inlineStr">
        <is>
          <t>4904710497463</t>
        </is>
      </c>
      <c r="F9" t="inlineStr">
        <is>
          <t>4904710497463</t>
        </is>
      </c>
      <c r="G9" t="inlineStr">
        <is>
          <t>好安心 無痕早安褲 M~L 3片</t>
        </is>
      </c>
      <c r="H9" t="n">
        <v>78</v>
      </c>
      <c r="J9" t="n">
        <v>16</v>
      </c>
      <c r="K9" t="n">
        <v>514.8</v>
      </c>
      <c r="L9" t="n">
        <v>499.2</v>
      </c>
      <c r="M9" t="n">
        <v>152</v>
      </c>
      <c r="N9" t="n">
        <v>256</v>
      </c>
      <c r="O9" t="n">
        <v>401</v>
      </c>
      <c r="Y9" t="n">
        <v>120</v>
      </c>
      <c r="Z9">
        <f>SUM(V9:Y9)</f>
        <v/>
      </c>
      <c r="AH9">
        <f>SUM(AA9:AG9)</f>
        <v/>
      </c>
      <c r="AI9">
        <f>O9-AH9</f>
        <v/>
      </c>
      <c r="AJ9">
        <f>SUM(AA9:AC9)</f>
        <v/>
      </c>
      <c r="AK9" t="n">
        <v>183</v>
      </c>
    </row>
    <row r="10">
      <c r="A10" t="inlineStr">
        <is>
          <t>521340846141500</t>
        </is>
      </c>
      <c r="B10" t="inlineStr">
        <is>
          <t>Fem</t>
        </is>
      </c>
      <c r="C10" t="inlineStr">
        <is>
          <t>好安心</t>
        </is>
      </c>
      <c r="D10" t="inlineStr">
        <is>
          <t>80882016</t>
        </is>
      </c>
      <c r="E10" t="inlineStr">
        <is>
          <t>4901703423669</t>
        </is>
      </c>
      <c r="F10" t="inlineStr">
        <is>
          <t>4901703423669</t>
        </is>
      </c>
      <c r="G10" t="inlineStr">
        <is>
          <t>好安心 隱形護墊 淡香 40片</t>
        </is>
      </c>
      <c r="H10" t="n">
        <v>40</v>
      </c>
      <c r="I10" t="inlineStr">
        <is>
          <t>新品</t>
        </is>
      </c>
      <c r="J10" t="n">
        <v>24</v>
      </c>
      <c r="K10" t="n">
        <v>264</v>
      </c>
      <c r="L10" t="n">
        <v>256</v>
      </c>
      <c r="M10" t="n">
        <v>234</v>
      </c>
      <c r="N10" t="n">
        <v>109</v>
      </c>
      <c r="O10" t="n">
        <v>440</v>
      </c>
      <c r="V10" t="n">
        <v>120</v>
      </c>
      <c r="W10" t="n">
        <v>24</v>
      </c>
      <c r="X10" t="n">
        <v>120</v>
      </c>
      <c r="Z10">
        <f>SUM(V10:Y10)</f>
        <v/>
      </c>
      <c r="AH10">
        <f>SUM(AA10:AG10)</f>
        <v/>
      </c>
      <c r="AI10">
        <f>O10-AH10</f>
        <v/>
      </c>
      <c r="AJ10">
        <f>SUM(AA10:AC10)</f>
        <v/>
      </c>
      <c r="AK10" t="n">
        <v>36</v>
      </c>
    </row>
    <row r="11">
      <c r="A11" t="inlineStr">
        <is>
          <t>521678664278205</t>
        </is>
      </c>
      <c r="B11" t="inlineStr">
        <is>
          <t>Shave</t>
        </is>
      </c>
      <c r="C11" t="inlineStr">
        <is>
          <t>剃刀王</t>
        </is>
      </c>
      <c r="D11" t="inlineStr">
        <is>
          <t>80896313</t>
        </is>
      </c>
      <c r="E11" t="inlineStr">
        <is>
          <t>4904268465631</t>
        </is>
      </c>
      <c r="F11" t="inlineStr">
        <is>
          <t>4904268465631</t>
        </is>
      </c>
      <c r="G11" t="inlineStr">
        <is>
          <t>剃刀王 敏感肌 刀架+刀頭 2個</t>
        </is>
      </c>
      <c r="H11" t="n">
        <v>289</v>
      </c>
      <c r="J11" t="n">
        <v>4</v>
      </c>
      <c r="K11" t="n">
        <v>1907.4</v>
      </c>
      <c r="L11" t="n">
        <v>1849.6</v>
      </c>
      <c r="M11" t="n">
        <v>296</v>
      </c>
      <c r="N11" t="n">
        <v>104</v>
      </c>
      <c r="O11" t="n">
        <v>92</v>
      </c>
      <c r="W11" t="n">
        <v>120</v>
      </c>
      <c r="X11" t="n">
        <v>120</v>
      </c>
      <c r="Y11" t="n">
        <v>120</v>
      </c>
      <c r="Z11">
        <f>SUM(V11:Y11)</f>
        <v/>
      </c>
      <c r="AH11">
        <f>SUM(AA11:AG11)</f>
        <v/>
      </c>
      <c r="AI11">
        <f>O11-AH11</f>
        <v/>
      </c>
      <c r="AJ11">
        <f>SUM(AA11:AC11)</f>
        <v/>
      </c>
      <c r="AK11" t="n">
        <v>291</v>
      </c>
    </row>
    <row r="12">
      <c r="A12" t="inlineStr">
        <is>
          <t>585236741485551</t>
        </is>
      </c>
      <c r="B12" t="inlineStr">
        <is>
          <t>Shave</t>
        </is>
      </c>
      <c r="C12" t="inlineStr">
        <is>
          <t>剃刀王</t>
        </is>
      </c>
      <c r="D12" t="inlineStr">
        <is>
          <t>80877566</t>
        </is>
      </c>
      <c r="E12" t="inlineStr">
        <is>
          <t>4903079244022</t>
        </is>
      </c>
      <c r="F12" t="inlineStr">
        <is>
          <t>4903079244022</t>
        </is>
      </c>
      <c r="G12" t="inlineStr">
        <is>
          <t>剃刀王 刮鬍泡 檸檬 333g</t>
        </is>
      </c>
      <c r="H12" t="n">
        <v>95</v>
      </c>
      <c r="J12" t="n">
        <v>6</v>
      </c>
      <c r="K12" t="n">
        <v>627</v>
      </c>
      <c r="L12" t="n">
        <v>608</v>
      </c>
      <c r="M12" t="n">
        <v>296</v>
      </c>
      <c r="N12" t="n">
        <v>125</v>
      </c>
      <c r="O12" t="n">
        <v>177</v>
      </c>
      <c r="Z12">
        <f>SUM(V12:Y12)</f>
        <v/>
      </c>
      <c r="AH12">
        <f>SUM(AA12:AG12)</f>
        <v/>
      </c>
      <c r="AI12">
        <f>O12-AH12</f>
        <v/>
      </c>
      <c r="AJ12">
        <f>SUM(AA12:AC12)</f>
        <v/>
      </c>
      <c r="AK12" t="n">
        <v>80</v>
      </c>
    </row>
    <row r="13">
      <c r="A13" t="inlineStr">
        <is>
          <t>599268668404828</t>
        </is>
      </c>
      <c r="B13" t="inlineStr">
        <is>
          <t>Skin</t>
        </is>
      </c>
      <c r="C13" t="inlineStr">
        <is>
          <t>晶亮</t>
        </is>
      </c>
      <c r="D13" t="inlineStr">
        <is>
          <t>80818827</t>
        </is>
      </c>
      <c r="E13" t="inlineStr">
        <is>
          <t>4909078666612</t>
        </is>
      </c>
      <c r="F13" t="inlineStr">
        <is>
          <t>4909078666612</t>
        </is>
      </c>
      <c r="G13" t="inlineStr">
        <is>
          <t>晶亮 多效修護霜 50g</t>
        </is>
      </c>
      <c r="H13" t="n">
        <v>499</v>
      </c>
      <c r="J13" t="n">
        <v>12</v>
      </c>
      <c r="K13" t="n">
        <v>3293.4</v>
      </c>
      <c r="L13" t="n">
        <v>3193.6</v>
      </c>
      <c r="M13" t="n">
        <v>194</v>
      </c>
      <c r="N13" t="n">
        <v>394</v>
      </c>
      <c r="O13" t="n">
        <v>128</v>
      </c>
      <c r="V13" t="n">
        <v>120</v>
      </c>
      <c r="Y13" t="n">
        <v>48</v>
      </c>
      <c r="Z13">
        <f>SUM(V13:Y13)</f>
        <v/>
      </c>
      <c r="AH13">
        <f>SUM(AA13:AG13)</f>
        <v/>
      </c>
      <c r="AI13">
        <f>O13-AH13</f>
        <v/>
      </c>
      <c r="AJ13">
        <f>SUM(AA13:AC13)</f>
        <v/>
      </c>
      <c r="AK13" t="n">
        <v>39</v>
      </c>
    </row>
    <row r="14">
      <c r="A14" t="inlineStr">
        <is>
          <t>531288292236054</t>
        </is>
      </c>
      <c r="B14" t="inlineStr">
        <is>
          <t>OCM</t>
        </is>
      </c>
      <c r="C14" t="inlineStr">
        <is>
          <t>亮白牙膏</t>
        </is>
      </c>
      <c r="D14" t="inlineStr">
        <is>
          <t>80890443</t>
        </is>
      </c>
      <c r="E14" t="inlineStr">
        <is>
          <t>4903721590101</t>
        </is>
      </c>
      <c r="F14" t="inlineStr">
        <is>
          <t>4903721590101</t>
        </is>
      </c>
      <c r="G14" t="inlineStr">
        <is>
          <t>亮白牙膏 檸檬青茶 120g</t>
        </is>
      </c>
      <c r="H14" t="n">
        <v>89</v>
      </c>
      <c r="J14" t="n">
        <v>24</v>
      </c>
      <c r="K14" t="n">
        <v>587.4</v>
      </c>
      <c r="L14" t="n">
        <v>569.6</v>
      </c>
      <c r="M14" t="n">
        <v>99</v>
      </c>
      <c r="N14" t="n">
        <v>217</v>
      </c>
      <c r="O14" t="n">
        <v>280</v>
      </c>
      <c r="V14" t="n">
        <v>48</v>
      </c>
      <c r="W14" t="n">
        <v>48</v>
      </c>
      <c r="X14" t="n">
        <v>120</v>
      </c>
      <c r="Y14" t="n">
        <v>24</v>
      </c>
      <c r="Z14">
        <f>SUM(V14:Y14)</f>
        <v/>
      </c>
      <c r="AH14">
        <f>SUM(AA14:AG14)</f>
        <v/>
      </c>
      <c r="AI14">
        <f>O14-AH14</f>
        <v/>
      </c>
      <c r="AJ14">
        <f>SUM(AA14:AC14)</f>
        <v/>
      </c>
      <c r="AK14" t="n">
        <v>220</v>
      </c>
    </row>
    <row r="15">
      <c r="A15" t="inlineStr">
        <is>
          <t>576728175980712</t>
        </is>
      </c>
      <c r="B15" t="inlineStr">
        <is>
          <t>OCM</t>
        </is>
      </c>
      <c r="C15" t="inlineStr">
        <is>
          <t>亮白牙膏</t>
        </is>
      </c>
      <c r="D15" t="inlineStr">
        <is>
          <t>80871078</t>
        </is>
      </c>
      <c r="E15" t="inlineStr">
        <is>
          <t>4900139624596</t>
        </is>
      </c>
      <c r="F15" t="inlineStr">
        <is>
          <t>4900139624596</t>
        </is>
      </c>
      <c r="G15" t="inlineStr">
        <is>
          <t>亮白牙膏 清新薄荷 120g</t>
        </is>
      </c>
      <c r="H15" t="n">
        <v>89</v>
      </c>
      <c r="J15" t="n">
        <v>24</v>
      </c>
      <c r="K15" t="n">
        <v>587.4</v>
      </c>
      <c r="L15" t="n">
        <v>569.6</v>
      </c>
      <c r="M15" t="n">
        <v>157</v>
      </c>
      <c r="N15" t="n">
        <v>357</v>
      </c>
      <c r="O15" t="n">
        <v>271</v>
      </c>
      <c r="Z15">
        <f>SUM(V15:Y15)</f>
        <v/>
      </c>
      <c r="AH15">
        <f>SUM(AA15:AG15)</f>
        <v/>
      </c>
      <c r="AI15">
        <f>O15-AH15</f>
        <v/>
      </c>
      <c r="AJ15">
        <f>SUM(AA15:AC15)</f>
        <v/>
      </c>
      <c r="AK15" t="n">
        <v>208</v>
      </c>
    </row>
    <row r="16">
      <c r="A16" t="inlineStr">
        <is>
          <t>582667245054574</t>
        </is>
      </c>
      <c r="B16" t="inlineStr">
        <is>
          <t>OCM</t>
        </is>
      </c>
      <c r="C16" t="inlineStr">
        <is>
          <t>潔牙線</t>
        </is>
      </c>
      <c r="D16" t="inlineStr">
        <is>
          <t>80857415</t>
        </is>
      </c>
      <c r="E16" t="inlineStr">
        <is>
          <t>4907741215471</t>
        </is>
      </c>
      <c r="F16" t="inlineStr">
        <is>
          <t>4907741215471</t>
        </is>
      </c>
      <c r="G16" t="inlineStr">
        <is>
          <t>潔牙線 深層潔淨 50m</t>
        </is>
      </c>
      <c r="H16" t="n">
        <v>68</v>
      </c>
      <c r="J16" t="n">
        <v>24</v>
      </c>
      <c r="K16" t="n">
        <v>448.8</v>
      </c>
      <c r="L16" t="n">
        <v>435.2</v>
      </c>
      <c r="M16" t="n">
        <v>282</v>
      </c>
      <c r="N16" t="n">
        <v>234</v>
      </c>
      <c r="O16" t="n">
        <v>458</v>
      </c>
      <c r="V16" t="n">
        <v>24</v>
      </c>
      <c r="W16" t="n">
        <v>48</v>
      </c>
      <c r="Y16" t="n">
        <v>120</v>
      </c>
      <c r="Z16">
        <f>SUM(V16:Y16)</f>
        <v/>
      </c>
      <c r="AH16">
        <f>SUM(AA16:AG16)</f>
        <v/>
      </c>
      <c r="AI16">
        <f>O16-AH16</f>
        <v/>
      </c>
      <c r="AJ16">
        <f>SUM(AA16:AC16)</f>
        <v/>
      </c>
      <c r="AK16" t="n">
        <v>84</v>
      </c>
    </row>
    <row r="17">
      <c r="A17" t="inlineStr">
        <is>
          <t>533510256951764</t>
        </is>
      </c>
      <c r="B17" t="inlineStr">
        <is>
          <t>Hair</t>
        </is>
      </c>
      <c r="C17" t="inlineStr">
        <is>
          <t>飄柔絲</t>
        </is>
      </c>
      <c r="D17" t="inlineStr">
        <is>
          <t>80880984</t>
        </is>
      </c>
      <c r="E17" t="inlineStr">
        <is>
          <t>4902808414859</t>
        </is>
      </c>
      <c r="F17" t="inlineStr">
        <is>
          <t>4902808414859</t>
        </is>
      </c>
      <c r="G17" t="inlineStr">
        <is>
          <t>飄柔絲 去屑洗髮乳 750ml</t>
        </is>
      </c>
      <c r="H17" t="n">
        <v>280</v>
      </c>
      <c r="J17" t="n">
        <v>12</v>
      </c>
      <c r="K17" t="n">
        <v>1848</v>
      </c>
      <c r="L17" t="n">
        <v>1792</v>
      </c>
      <c r="M17" t="n">
        <v>98</v>
      </c>
      <c r="N17" t="n">
        <v>312</v>
      </c>
      <c r="O17" t="n">
        <v>485</v>
      </c>
      <c r="W17" t="n">
        <v>24</v>
      </c>
      <c r="Y17" t="n">
        <v>48</v>
      </c>
      <c r="Z17">
        <f>SUM(V17:Y17)</f>
        <v/>
      </c>
      <c r="AH17">
        <f>SUM(AA17:AG17)</f>
        <v/>
      </c>
      <c r="AI17">
        <f>O17-AH17</f>
        <v/>
      </c>
      <c r="AJ17">
        <f>SUM(AA17:AC17)</f>
        <v/>
      </c>
      <c r="AK17" t="n">
        <v>291</v>
      </c>
    </row>
    <row r="18">
      <c r="A18" t="inlineStr">
        <is>
          <t>579353060169912</t>
        </is>
      </c>
      <c r="B18" t="inlineStr">
        <is>
          <t>Hair</t>
        </is>
      </c>
      <c r="C18" t="inlineStr">
        <is>
          <t>飄柔絲</t>
        </is>
      </c>
      <c r="D18" t="inlineStr">
        <is>
          <t>80846623</t>
        </is>
      </c>
      <c r="E18" t="inlineStr">
        <is>
          <t>14908539336330</t>
        </is>
      </c>
      <c r="F18" t="inlineStr">
        <is>
          <t>4908539336330</t>
        </is>
      </c>
      <c r="G18" t="inlineStr">
        <is>
          <t>[箱裝]飄柔絲 潤髮乳 500ml, 12瓶</t>
        </is>
      </c>
      <c r="H18" t="n">
        <v>3100</v>
      </c>
      <c r="J18" t="n">
        <v>1</v>
      </c>
      <c r="K18" t="n">
        <v>20460</v>
      </c>
      <c r="L18" t="n">
        <v>19840</v>
      </c>
      <c r="M18" t="n">
        <v>356</v>
      </c>
      <c r="N18" t="n">
        <v>147</v>
      </c>
      <c r="O18" t="n">
        <v>338</v>
      </c>
      <c r="V18" t="n">
        <v>120</v>
      </c>
      <c r="W18" t="n">
        <v>24</v>
      </c>
      <c r="X18" t="n">
        <v>24</v>
      </c>
      <c r="Y18" t="n">
        <v>24</v>
      </c>
      <c r="Z18">
        <f>SUM(V18:Y18)</f>
        <v/>
      </c>
      <c r="AH18">
        <f>SUM(AA18:AG18)</f>
        <v/>
      </c>
      <c r="AI18">
        <f>O18-AH18</f>
        <v/>
      </c>
      <c r="AJ18">
        <f>SUM(AA18:AC18)</f>
        <v/>
      </c>
      <c r="AK18" t="n">
        <v>59</v>
      </c>
    </row>
    <row r="19">
      <c r="B19" t="inlineStr">
        <is>
          <t>Home</t>
        </is>
      </c>
      <c r="C19" t="inlineStr">
        <is>
          <t>清風香</t>
        </is>
      </c>
      <c r="D19" t="inlineStr">
        <is>
          <t>80854267</t>
        </is>
      </c>
      <c r="E19" t="inlineStr">
        <is>
          <t>4907439575511</t>
        </is>
      </c>
      <c r="F19" t="inlineStr">
        <is>
          <t>4907439575511</t>
        </is>
      </c>
      <c r="G19" t="inlineStr">
        <is>
          <t>清風香 除臭噴霧 370ml</t>
        </is>
      </c>
      <c r="H19" t="n">
        <v>150</v>
      </c>
      <c r="J19" t="n">
        <v>12</v>
      </c>
      <c r="K19" t="n">
        <v>990</v>
      </c>
      <c r="L19" t="n">
        <v>960</v>
      </c>
      <c r="M19" t="n">
        <v>131</v>
      </c>
      <c r="N19" t="n">
        <v>257</v>
      </c>
      <c r="O19" t="n">
        <v>148</v>
      </c>
      <c r="V19" t="n">
        <v>24</v>
      </c>
      <c r="W19" t="n">
        <v>120</v>
      </c>
      <c r="X19" t="n">
        <v>24</v>
      </c>
      <c r="Y19" t="n">
        <v>48</v>
      </c>
      <c r="Z19">
        <f>SUM(V19:Y19)</f>
        <v/>
      </c>
      <c r="AH19">
        <f>SUM(AA19:AG19)</f>
        <v/>
      </c>
      <c r="AI19">
        <f>O19-AH19</f>
        <v/>
      </c>
      <c r="AJ19">
        <f>SUM(AA19:AC19)</f>
        <v/>
      </c>
      <c r="AK19" t="n">
        <v>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B11"/>
  <sheetViews>
    <sheetView workbookViewId="0">
      <selection activeCell="A1" sqref="A1"/>
    </sheetView>
  </sheetViews>
  <sheetFormatPr baseColWidth="8" defaultRowHeight="15"/>
  <sheetData>
    <row r="3">
      <c r="A3" t="inlineStr">
        <is>
          <t>列標籤</t>
        </is>
      </c>
      <c r="B3" t="inlineStr">
        <is>
          <t>加總 - PG剩餘可供貨</t>
        </is>
      </c>
    </row>
    <row r="4">
      <c r="A4" t="inlineStr">
        <is>
          <t>4902199351818</t>
        </is>
      </c>
      <c r="B4" t="n">
        <v>103</v>
      </c>
    </row>
    <row r="5">
      <c r="A5" t="inlineStr">
        <is>
          <t>4908657975435</t>
        </is>
      </c>
      <c r="B5" t="n">
        <v>52</v>
      </c>
    </row>
    <row r="6">
      <c r="A6" t="inlineStr">
        <is>
          <t>4905260181598</t>
        </is>
      </c>
      <c r="B6" t="n">
        <v>184</v>
      </c>
    </row>
    <row r="7">
      <c r="A7" t="inlineStr">
        <is>
          <t>4901318609137</t>
        </is>
      </c>
      <c r="B7" t="n">
        <v>47</v>
      </c>
    </row>
    <row r="8">
      <c r="A8" t="inlineStr">
        <is>
          <t>14906030824622</t>
        </is>
      </c>
      <c r="B8" t="n">
        <v>18</v>
      </c>
    </row>
    <row r="9">
      <c r="A9" t="inlineStr">
        <is>
          <t>4904875749117</t>
        </is>
      </c>
      <c r="B9" t="n">
        <v>87</v>
      </c>
    </row>
    <row r="10">
      <c r="A10" t="inlineStr">
        <is>
          <t>14906018955591</t>
        </is>
      </c>
      <c r="B10" t="n">
        <v>77</v>
      </c>
    </row>
    <row r="11">
      <c r="A11" t="inlineStr">
        <is>
          <t>4904710497463</t>
        </is>
      </c>
      <c r="B1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2026-09-15T06:45:19Z</dcterms:created>
  <dcterms:modified xmlns:dcterms="http://purl.org/dc/terms/" xmlns:xsi="http://www.w3.org/2001/XMLSchema-instance" xsi:type="dcterms:W3CDTF">2026-09-15T06:45:19Z</dcterms:modified>
</cp:coreProperties>
</file>