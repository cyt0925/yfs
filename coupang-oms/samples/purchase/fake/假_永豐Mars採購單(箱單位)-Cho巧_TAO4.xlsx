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xmlns:r="http://schemas.openxmlformats.org/officeDocument/2006/relationships" name="採購總表 " sheetId="1" state="visible" r:id="rId1"/>
    <sheet xmlns:r="http://schemas.openxmlformats.org/officeDocument/2006/relationships" name="清單" sheetId="2" state="visible" r:id="rId2"/>
  </sheets>
  <definedNames>
    <definedName name="_xlnm._FilterDatabase" localSheetId="0" hidden="1">'採購總表 '!$A$11:$K$95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rgb="FFFF0000"/>
      <sz val="14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8"/>
    </font>
    <font>
      <name val="微軟正黑體"/>
      <charset val="136"/>
      <family val="2"/>
      <b val="1"/>
      <color rgb="FF0070C0"/>
      <sz val="14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 applyAlignment="1">
      <alignment vertical="center"/>
    </xf>
    <xf numFmtId="43" fontId="1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1">
      <alignment vertical="center"/>
    </xf>
    <xf numFmtId="0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4" fontId="4" fillId="0" borderId="3" applyAlignment="1" pivotButton="0" quotePrefix="0" xfId="0">
      <alignment vertical="center"/>
    </xf>
    <xf numFmtId="14" fontId="6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0" fillId="0" borderId="1" applyAlignment="1" pivotButton="0" quotePrefix="0" xfId="1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1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1">
      <alignment vertical="center"/>
    </xf>
    <xf numFmtId="0" fontId="4" fillId="1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12" fillId="2" borderId="3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2" pivotButton="0" quotePrefix="0" xfId="0"/>
    <xf numFmtId="14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164" fontId="4" fillId="5" borderId="1" applyAlignment="1" pivotButton="0" quotePrefix="0" xfId="1">
      <alignment horizontal="center" vertical="center" wrapText="1"/>
    </xf>
    <xf numFmtId="164" fontId="10" fillId="0" borderId="1" applyAlignment="1" pivotButton="0" quotePrefix="0" xfId="1">
      <alignment vertical="center"/>
    </xf>
    <xf numFmtId="164" fontId="4" fillId="0" borderId="1" applyAlignment="1" pivotButton="0" quotePrefix="0" xfId="1">
      <alignment vertical="center"/>
    </xf>
    <xf numFmtId="164" fontId="4" fillId="10" borderId="1" applyAlignment="1" pivotButton="0" quotePrefix="0" xfId="1">
      <alignment vertical="center"/>
    </xf>
  </cellXfs>
  <cellStyles count="2">
    <cellStyle name="一般" xfId="0" builtinId="0"/>
    <cellStyle name="千分位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J95"/>
  <sheetViews>
    <sheetView tabSelected="1" zoomScale="59" zoomScaleNormal="59" workbookViewId="0">
      <selection activeCell="G101" sqref="G101"/>
    </sheetView>
  </sheetViews>
  <sheetFormatPr baseColWidth="8" defaultColWidth="8.7265625" defaultRowHeight="15.5"/>
  <cols>
    <col outlineLevel="1" width="14.453125" customWidth="1" style="2" min="1" max="1"/>
    <col outlineLevel="1" width="41.26953125" customWidth="1" style="2" min="2" max="2"/>
    <col outlineLevel="1" width="8.7265625" customWidth="1" style="2" min="3" max="3"/>
    <col width="18.6328125" customWidth="1" style="2" min="4" max="4"/>
    <col width="59.36328125" customWidth="1" style="2" min="5" max="5"/>
    <col width="8.26953125" customWidth="1" style="16" min="6" max="6"/>
    <col width="12.36328125" customWidth="1" style="2" min="7" max="7"/>
    <col width="16.36328125" customWidth="1" style="2" min="8" max="8"/>
    <col width="15.7265625" customWidth="1" style="2" min="9" max="9"/>
    <col width="22.90625" customWidth="1" style="2" min="10" max="10"/>
    <col width="8.7265625" customWidth="1" style="2" min="11" max="11"/>
    <col width="11.453125" bestFit="1" customWidth="1" style="2" min="12" max="12"/>
    <col width="12.08984375" bestFit="1" customWidth="1" style="2" min="13" max="13"/>
    <col width="11.453125" bestFit="1" customWidth="1" style="2" min="14" max="14"/>
    <col width="12.26953125" customWidth="1" style="2" min="15" max="15"/>
    <col width="9.6328125" bestFit="1" customWidth="1" style="2" min="16" max="16"/>
    <col width="8.7265625" customWidth="1" style="2" min="17" max="16384"/>
  </cols>
  <sheetData>
    <row r="1" ht="18" customHeight="1" s="82">
      <c r="D1" s="72" t="inlineStr">
        <is>
          <t>MARS  TAIWAN 台灣瑪氏股份有限公司</t>
        </is>
      </c>
      <c r="E1" s="83" t="n"/>
      <c r="F1" s="83" t="n"/>
      <c r="G1" s="83" t="n"/>
      <c r="H1" s="83" t="n"/>
      <c r="I1" s="84" t="n"/>
    </row>
    <row r="2" ht="18" customHeight="1" s="82">
      <c r="D2" s="72" t="inlineStr">
        <is>
          <t xml:space="preserve">  ORDER FORM 訂貨通知單</t>
        </is>
      </c>
      <c r="E2" s="83" t="n"/>
      <c r="F2" s="83" t="n"/>
      <c r="G2" s="83" t="n"/>
      <c r="H2" s="83" t="n"/>
      <c r="I2" s="84" t="n"/>
    </row>
    <row r="3" ht="23.5" customHeight="1" s="82">
      <c r="D3" s="70" t="inlineStr">
        <is>
          <t xml:space="preserve">下單日: </t>
        </is>
      </c>
      <c r="E3" s="11" t="n">
        <v>46279</v>
      </c>
      <c r="F3" s="55" t="inlineStr">
        <is>
          <t xml:space="preserve">配送日: </t>
        </is>
      </c>
      <c r="G3" s="84" t="n"/>
      <c r="H3" s="85" t="n">
        <v>46283</v>
      </c>
      <c r="I3" s="84" t="n"/>
    </row>
    <row r="4" ht="23.5" customHeight="1" s="82">
      <c r="D4" s="70" t="inlineStr">
        <is>
          <t>下單公司名稱</t>
        </is>
      </c>
      <c r="E4" s="10" t="inlineStr">
        <is>
          <t>永豐商店股份有限公司</t>
        </is>
      </c>
      <c r="F4" s="55" t="inlineStr">
        <is>
          <t>customer code</t>
        </is>
      </c>
      <c r="G4" s="84" t="n"/>
      <c r="H4" s="86" t="n">
        <v>17616972</v>
      </c>
      <c r="I4" s="84" t="n"/>
    </row>
    <row r="5" ht="130" customHeight="1" s="82">
      <c r="D5" s="70" t="inlineStr">
        <is>
          <t>永豐PO單號</t>
        </is>
      </c>
      <c r="E5" s="79" t="inlineStr">
        <is>
          <t>13000000900003</t>
        </is>
      </c>
      <c r="F5" s="87" t="inlineStr">
        <is>
          <t>特殊需求</t>
        </is>
      </c>
      <c r="G5" s="84" t="n"/>
      <c r="H5" s="88" t="inlineStr">
        <is>
          <t>假資料：測試用，不是真的出貨需求</t>
        </is>
      </c>
      <c r="I5" s="84" t="n"/>
    </row>
    <row r="6" ht="23.5" customHeight="1" s="82">
      <c r="D6" s="70" t="inlineStr">
        <is>
          <t>入倉倉別:</t>
        </is>
      </c>
      <c r="E6" s="21" t="inlineStr">
        <is>
          <t>酷澎-TAO4</t>
        </is>
      </c>
      <c r="F6" s="87" t="inlineStr">
        <is>
          <t>效期要求</t>
        </is>
      </c>
      <c r="G6" s="84" t="n"/>
      <c r="H6" s="89" t="inlineStr">
        <is>
          <t>3/5 效期以上</t>
        </is>
      </c>
      <c r="I6" s="84" t="n"/>
    </row>
    <row r="7" ht="23.5" customHeight="1" s="82">
      <c r="D7" s="70" t="inlineStr">
        <is>
          <t>送貨地址:</t>
        </is>
      </c>
      <c r="E7" s="21" t="inlineStr">
        <is>
          <t>桃園市觀音區假地址四路400號</t>
        </is>
      </c>
      <c r="F7" s="87" t="inlineStr">
        <is>
          <t>ship-to:</t>
        </is>
      </c>
      <c r="G7" s="84" t="n"/>
      <c r="H7" s="90" t="n">
        <v>17647742</v>
      </c>
      <c r="I7" s="84" t="n"/>
    </row>
    <row r="8" ht="23.5" customHeight="1" s="82">
      <c r="D8" s="70" t="inlineStr">
        <is>
          <t>送貨連絡電話 :</t>
        </is>
      </c>
      <c r="E8" s="21" t="inlineStr">
        <is>
          <t>02-5592-7598</t>
        </is>
      </c>
      <c r="F8" s="55" t="inlineStr">
        <is>
          <t xml:space="preserve">送貨聯絡人 : </t>
        </is>
      </c>
      <c r="G8" s="84" t="n"/>
      <c r="H8" s="55" t="inlineStr">
        <is>
          <t>酷澎</t>
        </is>
      </c>
      <c r="I8" s="84" t="n"/>
    </row>
    <row r="9">
      <c r="D9" s="1" t="n"/>
      <c r="E9" s="65" t="n"/>
      <c r="F9" s="84" t="n"/>
      <c r="G9" s="1" t="inlineStr">
        <is>
          <t>總箱數</t>
        </is>
      </c>
      <c r="H9" s="1" t="inlineStr">
        <is>
          <t>採購合計(未稅)</t>
        </is>
      </c>
      <c r="I9" s="1" t="inlineStr">
        <is>
          <t>採購合計(含稅)</t>
        </is>
      </c>
    </row>
    <row r="10" ht="23.5" customHeight="1" s="82">
      <c r="D10" s="6" t="inlineStr">
        <is>
          <t>合計</t>
        </is>
      </c>
      <c r="E10" s="67" t="inlineStr">
        <is>
          <t>Chocolate巧克力</t>
        </is>
      </c>
      <c r="F10" s="84" t="n"/>
      <c r="G10" s="91">
        <f>SUM(G12:G203)</f>
        <v/>
      </c>
      <c r="H10" s="92">
        <f>SUM(I12:I203)</f>
        <v/>
      </c>
      <c r="I10" s="92">
        <f>H10*1.05</f>
        <v/>
      </c>
    </row>
    <row r="11" ht="42.65" customFormat="1" customHeight="1" s="15">
      <c r="A11" s="18" t="inlineStr">
        <is>
          <t>永豐料號</t>
        </is>
      </c>
      <c r="B11" s="9" t="inlineStr">
        <is>
          <t>備註</t>
        </is>
      </c>
      <c r="C11" s="9" t="inlineStr">
        <is>
          <t>每箱中盒數</t>
        </is>
      </c>
      <c r="D11" s="9" t="inlineStr">
        <is>
          <t>瑪氏貨號</t>
        </is>
      </c>
      <c r="E11" s="9" t="inlineStr">
        <is>
          <t>系統品名(中文)</t>
        </is>
      </c>
      <c r="F11" s="22" t="inlineStr">
        <is>
          <t>盒單位
數量</t>
        </is>
      </c>
      <c r="G11" s="13" t="inlineStr">
        <is>
          <t>採購數量
(箱)</t>
        </is>
      </c>
      <c r="H11" s="93" t="inlineStr">
        <is>
          <t>系統價格
(未稅)</t>
        </is>
      </c>
      <c r="I11" s="9" t="inlineStr">
        <is>
          <t>採購小計
(未稅)</t>
        </is>
      </c>
      <c r="J11" s="35" t="inlineStr">
        <is>
          <t>需加工貼小白標</t>
        </is>
      </c>
    </row>
    <row r="12" hidden="1" s="82">
      <c r="A12" s="53" t="inlineStr">
        <is>
          <t>M20000301</t>
        </is>
      </c>
      <c r="B12" s="53" t="n"/>
      <c r="C12" s="55" t="n">
        <v>24</v>
      </c>
      <c r="D12" s="55" t="n">
        <v>70000301</v>
      </c>
      <c r="E12" s="53" t="inlineStr">
        <is>
          <t>假_M&amp;M's 牛奶巧克力 40gx24</t>
        </is>
      </c>
      <c r="F12" s="55" t="n"/>
      <c r="G12" s="19" t="n">
        <v>10</v>
      </c>
      <c r="H12" s="94" t="n">
        <v>1200</v>
      </c>
      <c r="I12" s="95">
        <f>IFERROR(G12*H12,0)</f>
        <v/>
      </c>
      <c r="J12" s="2" t="n"/>
    </row>
    <row r="13" hidden="1" s="82">
      <c r="A13" s="53" t="inlineStr">
        <is>
          <t>M20000302</t>
        </is>
      </c>
      <c r="B13" s="53" t="n"/>
      <c r="C13" s="55" t="n">
        <v>24</v>
      </c>
      <c r="D13" s="55" t="n">
        <v>70000302</v>
      </c>
      <c r="E13" s="53" t="inlineStr">
        <is>
          <t>假_M&amp;M's 花生巧克力 40gx24</t>
        </is>
      </c>
      <c r="F13" s="55" t="n"/>
      <c r="G13" s="19" t="n"/>
      <c r="H13" s="94" t="n">
        <v>1250</v>
      </c>
      <c r="I13" s="95">
        <f>IFERROR(G13*H13,0)</f>
        <v/>
      </c>
      <c r="J13" s="2" t="n"/>
    </row>
    <row r="14" hidden="1" s="82">
      <c r="A14" s="53" t="inlineStr">
        <is>
          <t>M20000303</t>
        </is>
      </c>
      <c r="B14" s="45" t="n"/>
      <c r="C14" s="55" t="n">
        <v>24</v>
      </c>
      <c r="D14" s="55" t="n">
        <v>70000303</v>
      </c>
      <c r="E14" s="53" t="inlineStr">
        <is>
          <t>假_士力架 花生巧克力棒 51gx24</t>
        </is>
      </c>
      <c r="F14" s="55" t="n"/>
      <c r="G14" s="19" t="n">
        <v>12</v>
      </c>
      <c r="H14" s="94" t="n">
        <v>1300</v>
      </c>
      <c r="I14" s="95">
        <f>IFERROR(G14*H14,0)</f>
        <v/>
      </c>
    </row>
    <row r="15" hidden="1" s="82">
      <c r="A15" s="53" t="inlineStr">
        <is>
          <t>M20000304</t>
        </is>
      </c>
      <c r="B15" s="45" t="n"/>
      <c r="C15" s="55" t="n">
        <v>24</v>
      </c>
      <c r="D15" s="55" t="n">
        <v>70000304</v>
      </c>
      <c r="E15" s="53" t="inlineStr">
        <is>
          <t>假_德芙 絲滑牛奶巧克力 43gx24</t>
        </is>
      </c>
      <c r="F15" s="55" t="n"/>
      <c r="G15" s="19" t="n"/>
      <c r="H15" s="94" t="n">
        <v>1350</v>
      </c>
      <c r="I15" s="95">
        <f>IFERROR(G15*H15,0)</f>
        <v/>
      </c>
    </row>
    <row r="16" hidden="1" s="82">
      <c r="A16" s="53" t="inlineStr">
        <is>
          <t>M20000305</t>
        </is>
      </c>
      <c r="B16" s="53" t="n"/>
      <c r="C16" s="55" t="n">
        <v>24</v>
      </c>
      <c r="D16" s="55" t="n">
        <v>70000305</v>
      </c>
      <c r="E16" s="53" t="inlineStr">
        <is>
          <t>假_德芙 榛果巧克力 43gx24</t>
        </is>
      </c>
      <c r="F16" s="55" t="n"/>
      <c r="G16" s="19" t="n">
        <v>8</v>
      </c>
      <c r="H16" s="94" t="n">
        <v>1400</v>
      </c>
      <c r="I16" s="95">
        <f>IFERROR(G16*H16,0)</f>
        <v/>
      </c>
    </row>
    <row r="17" hidden="1" s="82">
      <c r="A17" s="53" t="inlineStr">
        <is>
          <t>M20000306</t>
        </is>
      </c>
      <c r="B17" s="53" t="n"/>
      <c r="C17" s="55" t="n">
        <v>12</v>
      </c>
      <c r="D17" s="55" t="n">
        <v>70000306</v>
      </c>
      <c r="E17" s="53" t="inlineStr">
        <is>
          <t>假_M&amp;M's 分享包 牛奶 150gx12</t>
        </is>
      </c>
      <c r="F17" s="55" t="n"/>
      <c r="G17" s="19" t="n"/>
      <c r="H17" s="94" t="n">
        <v>1500</v>
      </c>
      <c r="I17" s="95">
        <f>IFERROR(G17*H17,0)</f>
        <v/>
      </c>
    </row>
    <row r="18" hidden="1" s="82">
      <c r="A18" s="53" t="inlineStr">
        <is>
          <t>M20000307</t>
        </is>
      </c>
      <c r="B18" s="45" t="n"/>
      <c r="C18" s="55" t="n">
        <v>12</v>
      </c>
      <c r="D18" s="55" t="n">
        <v>70000307</v>
      </c>
      <c r="E18" s="53" t="inlineStr">
        <is>
          <t>假_士力架 迷你包 180gx12</t>
        </is>
      </c>
      <c r="F18" s="55" t="n"/>
      <c r="G18" s="19" t="n"/>
      <c r="H18" s="94" t="n">
        <v>1560</v>
      </c>
      <c r="I18" s="95">
        <f>IFERROR(G18*H18,0)</f>
        <v/>
      </c>
    </row>
    <row r="19" hidden="1" s="82">
      <c r="A19" s="53" t="inlineStr">
        <is>
          <t>M20000308</t>
        </is>
      </c>
      <c r="B19" s="56" t="n"/>
      <c r="C19" s="55" t="n">
        <v>12</v>
      </c>
      <c r="D19" s="55" t="n">
        <v>70000308</v>
      </c>
      <c r="E19" s="53" t="inlineStr">
        <is>
          <t>假_德芙 禮盒 200gx12</t>
        </is>
      </c>
      <c r="F19" s="55" t="n"/>
      <c r="G19" s="19" t="n">
        <v>2</v>
      </c>
      <c r="H19" s="94" t="n">
        <v>2400</v>
      </c>
      <c r="I19" s="95">
        <f>IFERROR(G19*H19,0)</f>
        <v/>
      </c>
      <c r="J19" s="2" t="n"/>
    </row>
    <row r="20">
      <c r="A20" s="53" t="n"/>
      <c r="B20" s="53" t="n"/>
      <c r="C20" s="55" t="n"/>
      <c r="D20" s="55" t="n"/>
      <c r="E20" s="53" t="n"/>
      <c r="F20" s="55" t="n"/>
      <c r="G20" s="19" t="n"/>
      <c r="H20" s="94" t="n"/>
      <c r="I20" s="95" t="n"/>
    </row>
    <row r="21" hidden="1" s="82">
      <c r="A21" s="53" t="n"/>
      <c r="B21" s="53" t="n"/>
      <c r="C21" s="55" t="n"/>
      <c r="D21" s="55" t="n"/>
      <c r="E21" s="53" t="n"/>
      <c r="F21" s="55" t="n"/>
      <c r="G21" s="19" t="n"/>
      <c r="H21" s="94" t="n"/>
      <c r="I21" s="95" t="n"/>
    </row>
    <row r="22" hidden="1" s="82">
      <c r="A22" s="53" t="n"/>
      <c r="B22" s="53" t="n"/>
      <c r="C22" s="55" t="n"/>
      <c r="D22" s="55" t="n"/>
      <c r="E22" s="53" t="n"/>
      <c r="F22" s="55" t="n"/>
      <c r="G22" s="19" t="n"/>
      <c r="H22" s="94" t="n"/>
      <c r="I22" s="95" t="n"/>
    </row>
    <row r="23" hidden="1" s="82">
      <c r="A23" s="53" t="n"/>
      <c r="B23" s="53" t="n"/>
      <c r="C23" s="55" t="n"/>
      <c r="D23" s="55" t="n"/>
      <c r="E23" s="53" t="n"/>
      <c r="F23" s="55" t="n"/>
      <c r="G23" s="19" t="n"/>
      <c r="H23" s="94" t="n"/>
      <c r="I23" s="95" t="n"/>
    </row>
    <row r="24" hidden="1" s="82">
      <c r="A24" s="53" t="n"/>
      <c r="B24" s="3" t="n"/>
      <c r="C24" s="55" t="n"/>
      <c r="D24" s="55" t="n"/>
      <c r="E24" s="53" t="n"/>
      <c r="F24" s="55" t="n"/>
      <c r="G24" s="19" t="n"/>
      <c r="H24" s="95" t="n"/>
      <c r="I24" s="95" t="n"/>
    </row>
    <row r="25" hidden="1" s="82">
      <c r="A25" s="53" t="n"/>
      <c r="B25" s="3" t="n"/>
      <c r="C25" s="55" t="n"/>
      <c r="D25" s="55" t="n"/>
      <c r="E25" s="53" t="n"/>
      <c r="F25" s="55" t="n"/>
      <c r="G25" s="19" t="n"/>
      <c r="H25" s="95" t="n"/>
      <c r="I25" s="95" t="n"/>
    </row>
    <row r="26" hidden="1" s="82">
      <c r="A26" s="53" t="n"/>
      <c r="B26" s="3" t="n"/>
      <c r="C26" s="55" t="n"/>
      <c r="D26" s="55" t="n"/>
      <c r="E26" s="53" t="n"/>
      <c r="F26" s="55" t="n"/>
      <c r="G26" s="19" t="n"/>
      <c r="H26" s="95" t="n"/>
      <c r="I26" s="95" t="n"/>
    </row>
    <row r="27" hidden="1" s="82">
      <c r="A27" s="53" t="n"/>
      <c r="B27" s="3" t="n"/>
      <c r="C27" s="55" t="n"/>
      <c r="D27" s="55" t="n"/>
      <c r="E27" s="53" t="n"/>
      <c r="F27" s="55" t="n"/>
      <c r="G27" s="19" t="n"/>
      <c r="H27" s="95" t="n"/>
      <c r="I27" s="95" t="n"/>
    </row>
    <row r="28" hidden="1" s="82">
      <c r="A28" s="53" t="n"/>
      <c r="B28" s="3" t="n"/>
      <c r="C28" s="55" t="n"/>
      <c r="D28" s="55" t="n"/>
      <c r="E28" s="34" t="n"/>
      <c r="F28" s="55" t="n"/>
      <c r="G28" s="19" t="n"/>
      <c r="H28" s="95" t="n"/>
      <c r="I28" s="95" t="n"/>
      <c r="J28" s="36" t="n"/>
    </row>
    <row r="29" hidden="1" s="82">
      <c r="A29" s="53" t="n"/>
      <c r="B29" s="3" t="n"/>
      <c r="C29" s="55" t="n"/>
      <c r="D29" s="55" t="n"/>
      <c r="E29" s="34" t="n"/>
      <c r="F29" s="55" t="n"/>
      <c r="G29" s="19" t="n"/>
      <c r="H29" s="95" t="n"/>
      <c r="I29" s="95" t="n"/>
      <c r="J29" s="36" t="n"/>
    </row>
    <row r="30" hidden="1" s="82">
      <c r="A30" s="53" t="n"/>
      <c r="B30" s="3" t="n"/>
      <c r="C30" s="55" t="n"/>
      <c r="D30" s="55" t="n"/>
      <c r="E30" s="53" t="n"/>
      <c r="F30" s="55" t="n"/>
      <c r="G30" s="19" t="n"/>
      <c r="H30" s="95" t="n"/>
      <c r="I30" s="95" t="n"/>
    </row>
    <row r="31" hidden="1" s="82">
      <c r="A31" s="53" t="n"/>
      <c r="B31" s="3" t="n"/>
      <c r="C31" s="55" t="n"/>
      <c r="D31" s="55" t="n"/>
      <c r="E31" s="53" t="n"/>
      <c r="F31" s="55" t="n"/>
      <c r="G31" s="19" t="n"/>
      <c r="H31" s="95" t="n"/>
      <c r="I31" s="95" t="n"/>
    </row>
    <row r="32" hidden="1" s="82">
      <c r="A32" s="53" t="n"/>
      <c r="B32" s="3" t="n"/>
      <c r="C32" s="55" t="n"/>
      <c r="D32" s="55" t="n"/>
      <c r="E32" s="53" t="n"/>
      <c r="F32" s="55" t="n"/>
      <c r="G32" s="19" t="n"/>
      <c r="H32" s="95" t="n"/>
      <c r="I32" s="95" t="n"/>
    </row>
    <row r="33" hidden="1" s="82">
      <c r="A33" s="53" t="n"/>
      <c r="B33" s="45" t="n"/>
      <c r="C33" s="55" t="n"/>
      <c r="D33" s="55" t="n"/>
      <c r="E33" s="53" t="n"/>
      <c r="F33" s="55" t="n"/>
      <c r="G33" s="19" t="n"/>
      <c r="H33" s="95" t="n"/>
      <c r="I33" s="95" t="n"/>
    </row>
    <row r="34" hidden="1" s="82">
      <c r="A34" s="53" t="n"/>
      <c r="B34" s="45" t="n"/>
      <c r="C34" s="55" t="n"/>
      <c r="D34" s="55" t="n"/>
      <c r="E34" s="53" t="n"/>
      <c r="F34" s="55" t="n"/>
      <c r="G34" s="19" t="n"/>
      <c r="H34" s="95" t="n"/>
      <c r="I34" s="95" t="n"/>
    </row>
    <row r="35" hidden="1" s="82">
      <c r="A35" s="53" t="n"/>
      <c r="B35" s="3" t="n"/>
      <c r="C35" s="55" t="n"/>
      <c r="D35" s="55" t="n"/>
      <c r="E35" s="53" t="n"/>
      <c r="F35" s="55" t="n"/>
      <c r="G35" s="19" t="n"/>
      <c r="H35" s="95" t="n"/>
      <c r="I35" s="95" t="n"/>
    </row>
    <row r="36" hidden="1" s="82">
      <c r="A36" s="53" t="n"/>
      <c r="B36" s="45" t="n"/>
      <c r="C36" s="55" t="n"/>
      <c r="D36" s="55" t="n"/>
      <c r="E36" s="53" t="n"/>
      <c r="F36" s="55" t="n"/>
      <c r="G36" s="19" t="n"/>
      <c r="H36" s="95" t="n"/>
      <c r="I36" s="95" t="n"/>
    </row>
    <row r="37" hidden="1" s="82">
      <c r="A37" s="53" t="n"/>
      <c r="B37" s="3" t="n"/>
      <c r="C37" s="55" t="n"/>
      <c r="D37" s="55" t="n"/>
      <c r="E37" s="53" t="n"/>
      <c r="F37" s="55" t="n"/>
      <c r="G37" s="19" t="n"/>
      <c r="H37" s="95" t="n"/>
      <c r="I37" s="95" t="n"/>
    </row>
    <row r="38" hidden="1" s="82">
      <c r="A38" s="53" t="n"/>
      <c r="B38" s="3" t="n"/>
      <c r="C38" s="55" t="n"/>
      <c r="D38" s="55" t="n"/>
      <c r="E38" s="53" t="n"/>
      <c r="F38" s="55" t="n"/>
      <c r="G38" s="19" t="n"/>
      <c r="H38" s="95" t="n"/>
      <c r="I38" s="95" t="n"/>
    </row>
    <row r="39" hidden="1" s="82">
      <c r="A39" s="53" t="n"/>
      <c r="B39" s="45" t="n"/>
      <c r="C39" s="55" t="n"/>
      <c r="D39" s="55" t="n"/>
      <c r="E39" s="53" t="n"/>
      <c r="F39" s="55" t="n"/>
      <c r="G39" s="19" t="n"/>
      <c r="H39" s="95" t="n"/>
      <c r="I39" s="95" t="n"/>
    </row>
    <row r="40" hidden="1" s="82">
      <c r="A40" s="53" t="n"/>
      <c r="B40" s="3" t="n"/>
      <c r="C40" s="55" t="n"/>
      <c r="D40" s="55" t="n"/>
      <c r="E40" s="53" t="n"/>
      <c r="F40" s="55" t="n"/>
      <c r="G40" s="19" t="n"/>
      <c r="H40" s="95" t="n"/>
      <c r="I40" s="95" t="n"/>
    </row>
    <row r="41" hidden="1" s="82">
      <c r="A41" s="53" t="n"/>
      <c r="B41" s="3" t="n"/>
      <c r="C41" s="55" t="n"/>
      <c r="D41" s="55" t="n"/>
      <c r="E41" s="53" t="n"/>
      <c r="F41" s="55" t="n"/>
      <c r="G41" s="19" t="n"/>
      <c r="H41" s="95" t="n"/>
      <c r="I41" s="95" t="n"/>
    </row>
    <row r="42" hidden="1" s="82">
      <c r="A42" s="53" t="n"/>
      <c r="B42" s="3" t="n"/>
      <c r="C42" s="55" t="n"/>
      <c r="D42" s="55" t="n"/>
      <c r="E42" s="53" t="n"/>
      <c r="F42" s="55" t="n"/>
      <c r="G42" s="19" t="n"/>
      <c r="H42" s="95" t="n"/>
      <c r="I42" s="95" t="n"/>
    </row>
    <row r="43" hidden="1" s="82">
      <c r="A43" s="53" t="n"/>
      <c r="B43" s="3" t="n"/>
      <c r="C43" s="55" t="n"/>
      <c r="D43" s="55" t="n"/>
      <c r="E43" s="53" t="n"/>
      <c r="F43" s="55" t="n"/>
      <c r="G43" s="19" t="n"/>
      <c r="H43" s="95" t="n"/>
      <c r="I43" s="95" t="n"/>
    </row>
    <row r="44" hidden="1" s="82">
      <c r="A44" s="53" t="n"/>
      <c r="B44" s="3" t="n"/>
      <c r="C44" s="55" t="n"/>
      <c r="D44" s="55" t="n"/>
      <c r="E44" s="53" t="n"/>
      <c r="F44" s="55" t="n"/>
      <c r="G44" s="19" t="n"/>
      <c r="H44" s="95" t="n"/>
      <c r="I44" s="95" t="n"/>
    </row>
    <row r="45" hidden="1" s="82">
      <c r="A45" s="53" t="n"/>
      <c r="B45" s="3" t="n"/>
      <c r="C45" s="55" t="n"/>
      <c r="D45" s="55" t="n"/>
      <c r="E45" s="53" t="n"/>
      <c r="F45" s="55" t="n"/>
      <c r="G45" s="19" t="n"/>
      <c r="H45" s="95" t="n"/>
      <c r="I45" s="95" t="n"/>
    </row>
    <row r="46" hidden="1" s="82">
      <c r="A46" s="53" t="n"/>
      <c r="B46" s="3" t="n"/>
      <c r="C46" s="55" t="n"/>
      <c r="D46" s="55" t="n"/>
      <c r="E46" s="53" t="n"/>
      <c r="F46" s="55" t="n"/>
      <c r="G46" s="19" t="n"/>
      <c r="H46" s="94" t="n"/>
      <c r="I46" s="95" t="n"/>
    </row>
    <row r="47" hidden="1" s="82">
      <c r="A47" s="53" t="n"/>
      <c r="B47" s="3" t="n"/>
      <c r="C47" s="55" t="n"/>
      <c r="D47" s="55" t="n"/>
      <c r="E47" s="53" t="n"/>
      <c r="F47" s="55" t="n"/>
      <c r="G47" s="19" t="n"/>
      <c r="H47" s="95" t="n"/>
      <c r="I47" s="95" t="n"/>
    </row>
    <row r="48">
      <c r="A48" s="53" t="n"/>
      <c r="B48" s="3" t="n"/>
      <c r="C48" s="55" t="n"/>
      <c r="D48" s="55" t="n"/>
      <c r="E48" s="53" t="n"/>
      <c r="F48" s="55" t="n"/>
      <c r="G48" s="19" t="n"/>
      <c r="H48" s="95" t="n"/>
      <c r="I48" s="95" t="n"/>
    </row>
    <row r="49" hidden="1" s="82">
      <c r="A49" s="53" t="n"/>
      <c r="B49" s="55" t="n"/>
      <c r="C49" s="55" t="n"/>
      <c r="D49" s="55" t="n"/>
      <c r="E49" s="53" t="n"/>
      <c r="F49" s="55" t="n"/>
      <c r="G49" s="19" t="n"/>
      <c r="H49" s="94" t="n"/>
      <c r="I49" s="95" t="n"/>
    </row>
    <row r="50" hidden="1" s="82">
      <c r="A50" s="53" t="n"/>
      <c r="B50" s="3" t="n"/>
      <c r="C50" s="55" t="n"/>
      <c r="D50" s="55" t="n"/>
      <c r="E50" s="34" t="n"/>
      <c r="F50" s="55" t="n"/>
      <c r="G50" s="19" t="n"/>
      <c r="H50" s="95" t="n"/>
      <c r="I50" s="95" t="n"/>
      <c r="J50" s="36" t="n"/>
    </row>
    <row r="51" hidden="1" s="82">
      <c r="A51" s="53" t="n"/>
      <c r="B51" s="3" t="n"/>
      <c r="C51" s="55" t="n"/>
      <c r="D51" s="55" t="n"/>
      <c r="E51" s="34" t="n"/>
      <c r="F51" s="55" t="n"/>
      <c r="G51" s="19" t="n"/>
      <c r="H51" s="95" t="n"/>
      <c r="I51" s="95" t="n"/>
      <c r="J51" s="36" t="n"/>
    </row>
    <row r="52" hidden="1" s="82">
      <c r="A52" s="53" t="n"/>
      <c r="B52" s="3" t="n"/>
      <c r="C52" s="55" t="n"/>
      <c r="D52" s="55" t="n"/>
      <c r="E52" s="53" t="n"/>
      <c r="F52" s="55" t="n"/>
      <c r="G52" s="19" t="n"/>
      <c r="H52" s="95" t="n"/>
      <c r="I52" s="95" t="n"/>
    </row>
    <row r="53" hidden="1" s="82">
      <c r="A53" s="53" t="n"/>
      <c r="B53" s="3" t="n"/>
      <c r="C53" s="55" t="n"/>
      <c r="D53" s="55" t="n"/>
      <c r="E53" s="53" t="n"/>
      <c r="F53" s="55" t="n"/>
      <c r="G53" s="19" t="n"/>
      <c r="H53" s="95" t="n"/>
      <c r="I53" s="95" t="n"/>
    </row>
    <row r="54" hidden="1" s="82">
      <c r="A54" s="53" t="n"/>
      <c r="B54" s="3" t="n"/>
      <c r="C54" s="55" t="n"/>
      <c r="D54" s="55" t="n"/>
      <c r="E54" s="53" t="n"/>
      <c r="F54" s="55" t="n"/>
      <c r="G54" s="19" t="n"/>
      <c r="H54" s="95" t="n"/>
      <c r="I54" s="95" t="n"/>
    </row>
    <row r="55" hidden="1" customFormat="1" s="61">
      <c r="A55" s="57" t="n"/>
      <c r="B55" s="58" t="n"/>
      <c r="C55" s="59" t="n"/>
      <c r="D55" s="59" t="n"/>
      <c r="E55" s="57" t="n"/>
      <c r="F55" s="59" t="n"/>
      <c r="G55" s="19" t="n"/>
      <c r="H55" s="96" t="n"/>
      <c r="I55" s="96" t="n"/>
    </row>
    <row r="56" hidden="1" s="82">
      <c r="A56" s="53" t="n"/>
      <c r="B56" s="3" t="n"/>
      <c r="C56" s="55" t="n"/>
      <c r="D56" s="55" t="n"/>
      <c r="E56" s="53" t="n"/>
      <c r="F56" s="55" t="n"/>
      <c r="G56" s="19" t="n"/>
      <c r="H56" s="95" t="n"/>
      <c r="I56" s="95" t="n"/>
    </row>
    <row r="57" hidden="1" s="82">
      <c r="A57" s="53" t="n"/>
      <c r="B57" s="3" t="n"/>
      <c r="C57" s="55" t="n"/>
      <c r="D57" s="55" t="n"/>
      <c r="E57" s="53" t="n"/>
      <c r="F57" s="55" t="n"/>
      <c r="G57" s="19" t="n"/>
      <c r="H57" s="95" t="n"/>
      <c r="I57" s="95" t="n"/>
    </row>
    <row r="58" hidden="1" s="82">
      <c r="A58" s="53" t="n"/>
      <c r="B58" s="3" t="n"/>
      <c r="C58" s="55" t="n"/>
      <c r="D58" s="55" t="n"/>
      <c r="E58" s="53" t="n"/>
      <c r="F58" s="55" t="n"/>
      <c r="G58" s="19" t="n"/>
      <c r="H58" s="95" t="n"/>
      <c r="I58" s="95" t="n"/>
    </row>
    <row r="59" hidden="1" s="82">
      <c r="A59" s="53" t="n"/>
      <c r="B59" s="3" t="n"/>
      <c r="C59" s="55" t="n"/>
      <c r="D59" s="55" t="n"/>
      <c r="E59" s="53" t="n"/>
      <c r="F59" s="55" t="n"/>
      <c r="G59" s="19" t="n"/>
      <c r="H59" s="95" t="n"/>
      <c r="I59" s="95" t="n"/>
    </row>
    <row r="60" hidden="1" s="82">
      <c r="A60" s="53" t="n"/>
      <c r="B60" s="3" t="n"/>
      <c r="C60" s="55" t="n"/>
      <c r="D60" s="55" t="n"/>
      <c r="E60" s="53" t="n"/>
      <c r="F60" s="55" t="n"/>
      <c r="G60" s="19" t="n"/>
      <c r="H60" s="95" t="n"/>
      <c r="I60" s="95" t="n"/>
    </row>
    <row r="61" hidden="1" s="82">
      <c r="A61" s="53" t="n"/>
      <c r="B61" s="3" t="n"/>
      <c r="C61" s="55" t="n"/>
      <c r="D61" s="55" t="n"/>
      <c r="E61" s="53" t="n"/>
      <c r="F61" s="55" t="n"/>
      <c r="G61" s="19" t="n"/>
      <c r="H61" s="95" t="n"/>
      <c r="I61" s="95" t="n"/>
    </row>
    <row r="62" hidden="1" s="82">
      <c r="A62" s="53" t="n"/>
      <c r="B62" s="3" t="n"/>
      <c r="C62" s="55" t="n"/>
      <c r="D62" s="55" t="n"/>
      <c r="E62" s="53" t="n"/>
      <c r="F62" s="55" t="n"/>
      <c r="G62" s="19" t="n"/>
      <c r="H62" s="95" t="n"/>
      <c r="I62" s="95" t="n"/>
    </row>
    <row r="63" hidden="1" s="82">
      <c r="A63" s="53" t="n"/>
      <c r="B63" s="55" t="n"/>
      <c r="C63" s="55" t="n"/>
      <c r="D63" s="55" t="n"/>
      <c r="E63" s="53" t="n"/>
      <c r="F63" s="55" t="n"/>
      <c r="G63" s="19" t="n"/>
      <c r="H63" s="94" t="n"/>
      <c r="I63" s="95" t="n"/>
      <c r="J63" s="51" t="n"/>
    </row>
    <row r="64" hidden="1" s="82">
      <c r="A64" s="53" t="n"/>
      <c r="B64" s="55" t="n"/>
      <c r="C64" s="55" t="n"/>
      <c r="D64" s="55" t="n"/>
      <c r="E64" s="53" t="n"/>
      <c r="F64" s="55" t="n"/>
      <c r="G64" s="19" t="n"/>
      <c r="H64" s="94" t="n"/>
      <c r="I64" s="95" t="n"/>
      <c r="J64" s="51" t="n"/>
    </row>
    <row r="65" hidden="1" s="82">
      <c r="A65" s="53" t="n"/>
      <c r="B65" s="55" t="n"/>
      <c r="C65" s="55" t="n"/>
      <c r="D65" s="55" t="n"/>
      <c r="E65" s="53" t="n"/>
      <c r="F65" s="55" t="n"/>
      <c r="G65" s="19" t="n"/>
      <c r="H65" s="94" t="n"/>
      <c r="I65" s="95" t="n"/>
      <c r="J65" s="51" t="n"/>
    </row>
    <row r="66" hidden="1" s="82">
      <c r="A66" s="53" t="n"/>
      <c r="B66" s="55" t="n"/>
      <c r="C66" s="55" t="n"/>
      <c r="D66" s="55" t="n"/>
      <c r="E66" s="53" t="n"/>
      <c r="F66" s="55" t="n"/>
      <c r="G66" s="19" t="n"/>
      <c r="H66" s="94" t="n"/>
      <c r="I66" s="95" t="n"/>
      <c r="J66" s="51" t="n"/>
    </row>
    <row r="67" hidden="1" s="82">
      <c r="A67" s="53" t="n"/>
      <c r="B67" s="55" t="n"/>
      <c r="C67" s="55" t="n"/>
      <c r="D67" s="55" t="n"/>
      <c r="E67" s="53" t="n"/>
      <c r="F67" s="55" t="n"/>
      <c r="G67" s="19" t="n"/>
      <c r="H67" s="94" t="n"/>
      <c r="I67" s="95" t="n"/>
      <c r="J67" s="51" t="n"/>
    </row>
    <row r="68" hidden="1" s="82">
      <c r="A68" s="53" t="n"/>
      <c r="B68" s="3" t="n"/>
      <c r="C68" s="55" t="n"/>
      <c r="D68" s="55" t="n"/>
      <c r="E68" s="53" t="n"/>
      <c r="F68" s="55" t="n"/>
      <c r="G68" s="19" t="n"/>
      <c r="H68" s="94" t="n"/>
      <c r="I68" s="95" t="n"/>
      <c r="J68" s="51" t="n"/>
    </row>
    <row r="69" hidden="1" s="82">
      <c r="A69" s="53" t="n"/>
      <c r="B69" s="3" t="n"/>
      <c r="C69" s="55" t="n"/>
      <c r="D69" s="55" t="n"/>
      <c r="E69" s="53" t="n"/>
      <c r="F69" s="55" t="n"/>
      <c r="G69" s="19" t="n"/>
      <c r="H69" s="94" t="n"/>
      <c r="I69" s="95" t="n"/>
    </row>
    <row r="70" hidden="1" s="82">
      <c r="A70" s="53" t="n"/>
      <c r="B70" s="55" t="n"/>
      <c r="C70" s="55" t="n"/>
      <c r="D70" s="55" t="n"/>
      <c r="E70" s="53" t="n"/>
      <c r="F70" s="55" t="n"/>
      <c r="G70" s="19" t="n"/>
      <c r="H70" s="94" t="n"/>
      <c r="I70" s="95" t="n"/>
    </row>
    <row r="71" hidden="1" s="82">
      <c r="A71" s="53" t="n"/>
      <c r="B71" s="55" t="n"/>
      <c r="C71" s="55" t="n"/>
      <c r="D71" s="55" t="n"/>
      <c r="E71" s="53" t="n"/>
      <c r="F71" s="55" t="n"/>
      <c r="G71" s="19" t="n"/>
      <c r="H71" s="94" t="n"/>
      <c r="I71" s="95" t="n"/>
    </row>
    <row r="72" hidden="1" s="82">
      <c r="A72" s="53" t="n"/>
      <c r="B72" s="3" t="n"/>
      <c r="C72" s="55" t="n"/>
      <c r="D72" s="55" t="n"/>
      <c r="E72" s="53" t="n"/>
      <c r="F72" s="55" t="n"/>
      <c r="G72" s="19" t="n"/>
      <c r="H72" s="94" t="n"/>
      <c r="I72" s="95" t="n"/>
    </row>
    <row r="73" hidden="1" s="82">
      <c r="A73" s="53" t="n"/>
      <c r="B73" s="3" t="n"/>
      <c r="C73" s="55" t="n"/>
      <c r="D73" s="55" t="n"/>
      <c r="E73" s="53" t="n"/>
      <c r="F73" s="55" t="n"/>
      <c r="G73" s="19" t="n"/>
      <c r="H73" s="94" t="n"/>
      <c r="I73" s="95" t="n"/>
    </row>
    <row r="74" hidden="1" s="82">
      <c r="A74" s="53" t="n"/>
      <c r="B74" s="3" t="n"/>
      <c r="C74" s="55" t="n"/>
      <c r="D74" s="55" t="n"/>
      <c r="E74" s="53" t="n"/>
      <c r="F74" s="55" t="n"/>
      <c r="G74" s="19" t="n"/>
      <c r="H74" s="94" t="n"/>
      <c r="I74" s="95" t="n"/>
    </row>
    <row r="75" hidden="1" s="82">
      <c r="A75" s="53" t="n"/>
      <c r="B75" s="3" t="n"/>
      <c r="C75" s="55" t="n"/>
      <c r="D75" s="55" t="n"/>
      <c r="E75" s="53" t="n"/>
      <c r="F75" s="55" t="n"/>
      <c r="G75" s="19" t="n"/>
      <c r="H75" s="94" t="n"/>
      <c r="I75" s="95" t="n"/>
    </row>
    <row r="76" hidden="1" s="82">
      <c r="A76" s="53" t="n"/>
      <c r="B76" s="3" t="n"/>
      <c r="C76" s="55" t="n"/>
      <c r="D76" s="55" t="n"/>
      <c r="E76" s="53" t="n"/>
      <c r="F76" s="55" t="n"/>
      <c r="G76" s="19" t="n"/>
      <c r="H76" s="95" t="n"/>
      <c r="I76" s="95" t="n"/>
    </row>
    <row r="77" hidden="1" s="82">
      <c r="A77" s="53" t="n"/>
      <c r="B77" s="3" t="n"/>
      <c r="C77" s="55" t="n"/>
      <c r="D77" s="55" t="n"/>
      <c r="E77" s="53" t="n"/>
      <c r="F77" s="55" t="n"/>
      <c r="G77" s="19" t="n"/>
      <c r="H77" s="94" t="n"/>
      <c r="I77" s="95" t="n"/>
    </row>
    <row r="78" hidden="1" s="82">
      <c r="A78" s="53" t="n"/>
      <c r="B78" s="3" t="n"/>
      <c r="C78" s="55" t="n"/>
      <c r="D78" s="55" t="n"/>
      <c r="E78" s="53" t="n"/>
      <c r="F78" s="55" t="n"/>
      <c r="G78" s="19" t="n"/>
      <c r="H78" s="94" t="n"/>
      <c r="I78" s="95" t="n"/>
    </row>
    <row r="79" hidden="1" s="82">
      <c r="A79" s="53" t="n"/>
      <c r="B79" s="3" t="n"/>
      <c r="C79" s="55" t="n"/>
      <c r="D79" s="55" t="n"/>
      <c r="E79" s="53" t="n"/>
      <c r="F79" s="55" t="n"/>
      <c r="G79" s="19" t="n"/>
      <c r="H79" s="94" t="n"/>
      <c r="I79" s="95" t="n"/>
    </row>
    <row r="80" hidden="1" s="82">
      <c r="A80" s="53" t="n"/>
      <c r="B80" s="3" t="n"/>
      <c r="C80" s="55" t="n"/>
      <c r="D80" s="55" t="n"/>
      <c r="E80" s="53" t="n"/>
      <c r="F80" s="55" t="n"/>
      <c r="G80" s="19" t="n"/>
      <c r="H80" s="94" t="n"/>
      <c r="I80" s="95" t="n"/>
      <c r="J80" s="51" t="n"/>
    </row>
    <row r="81" hidden="1" s="82">
      <c r="A81" s="53" t="n"/>
      <c r="B81" s="3" t="n"/>
      <c r="C81" s="55" t="n"/>
      <c r="D81" s="55" t="n"/>
      <c r="E81" s="53" t="n"/>
      <c r="F81" s="55" t="n"/>
      <c r="G81" s="19" t="n"/>
      <c r="H81" s="94" t="n"/>
      <c r="I81" s="95" t="n"/>
      <c r="J81" s="51" t="n"/>
    </row>
    <row r="82" hidden="1" s="82">
      <c r="A82" s="53" t="n"/>
      <c r="B82" s="3" t="n"/>
      <c r="C82" s="55" t="n"/>
      <c r="D82" s="55" t="n"/>
      <c r="E82" s="53" t="n"/>
      <c r="F82" s="55" t="n"/>
      <c r="G82" s="19" t="n"/>
      <c r="H82" s="94" t="n"/>
      <c r="I82" s="95" t="n"/>
    </row>
    <row r="83" hidden="1" s="82">
      <c r="A83" s="53" t="n"/>
      <c r="B83" s="3" t="n"/>
      <c r="C83" s="55" t="n"/>
      <c r="D83" s="55" t="n"/>
      <c r="E83" s="53" t="n"/>
      <c r="F83" s="55" t="n"/>
      <c r="G83" s="19" t="n"/>
      <c r="H83" s="94" t="n"/>
      <c r="I83" s="95" t="n"/>
    </row>
    <row r="84" hidden="1" s="82">
      <c r="A84" s="53" t="n"/>
      <c r="B84" s="55" t="n"/>
      <c r="C84" s="55" t="n"/>
      <c r="D84" s="55" t="n"/>
      <c r="E84" s="53" t="n"/>
      <c r="F84" s="55" t="n"/>
      <c r="G84" s="19" t="n"/>
      <c r="H84" s="94" t="n"/>
      <c r="I84" s="95" t="n"/>
    </row>
    <row r="85" hidden="1" s="82">
      <c r="A85" s="53" t="n"/>
      <c r="B85" s="3" t="n"/>
      <c r="C85" s="55" t="n"/>
      <c r="D85" s="55" t="n"/>
      <c r="E85" s="53" t="n"/>
      <c r="F85" s="55" t="n"/>
      <c r="G85" s="19" t="n"/>
      <c r="H85" s="95" t="n"/>
      <c r="I85" s="95" t="n"/>
    </row>
    <row r="86" hidden="1" s="82">
      <c r="A86" s="53" t="n"/>
      <c r="B86" s="3" t="n"/>
      <c r="C86" s="55" t="n"/>
      <c r="D86" s="55" t="n"/>
      <c r="E86" s="53" t="n"/>
      <c r="F86" s="55" t="n"/>
      <c r="G86" s="19" t="n"/>
      <c r="H86" s="95" t="n"/>
      <c r="I86" s="95" t="n"/>
    </row>
    <row r="87" hidden="1" s="82">
      <c r="A87" s="53" t="n"/>
      <c r="B87" s="3" t="n"/>
      <c r="C87" s="55" t="n"/>
      <c r="D87" s="55" t="n"/>
      <c r="E87" s="53" t="n"/>
      <c r="F87" s="55" t="n"/>
      <c r="G87" s="19" t="n"/>
      <c r="H87" s="95" t="n"/>
      <c r="I87" s="95" t="n"/>
    </row>
    <row r="88" hidden="1" s="82">
      <c r="A88" s="53" t="n"/>
      <c r="B88" s="3" t="n"/>
      <c r="C88" s="55" t="n"/>
      <c r="D88" s="55" t="n"/>
      <c r="E88" s="53" t="n"/>
      <c r="F88" s="55" t="n"/>
      <c r="G88" s="19" t="n"/>
      <c r="H88" s="94" t="n"/>
      <c r="I88" s="95" t="n"/>
    </row>
    <row r="89" hidden="1" s="82">
      <c r="A89" s="53" t="n"/>
      <c r="B89" s="3" t="n"/>
      <c r="C89" s="55" t="n"/>
      <c r="D89" s="55" t="n"/>
      <c r="E89" s="53" t="n"/>
      <c r="F89" s="55" t="n"/>
      <c r="G89" s="19" t="n"/>
      <c r="H89" s="94" t="n"/>
      <c r="I89" s="95" t="n"/>
    </row>
    <row r="90" hidden="1" s="82">
      <c r="A90" s="53" t="n"/>
      <c r="B90" s="3" t="n"/>
      <c r="C90" s="55" t="n"/>
      <c r="D90" s="55" t="n"/>
      <c r="E90" s="53" t="n"/>
      <c r="F90" s="55" t="n"/>
      <c r="G90" s="19" t="n"/>
      <c r="H90" s="94" t="n"/>
      <c r="I90" s="95" t="n"/>
    </row>
    <row r="91" hidden="1" s="82">
      <c r="A91" s="53" t="n"/>
      <c r="B91" s="3" t="n"/>
      <c r="C91" s="55" t="n"/>
      <c r="D91" s="55" t="n"/>
      <c r="E91" s="53" t="n"/>
      <c r="F91" s="55" t="n"/>
      <c r="G91" s="19" t="n"/>
      <c r="H91" s="94" t="n"/>
      <c r="I91" s="95" t="n"/>
    </row>
    <row r="92" hidden="1" s="82">
      <c r="A92" s="53" t="n"/>
      <c r="B92" s="3" t="n"/>
      <c r="C92" s="55" t="n"/>
      <c r="D92" s="55" t="n"/>
      <c r="E92" s="53" t="n"/>
      <c r="F92" s="55" t="n"/>
      <c r="G92" s="19" t="n"/>
      <c r="H92" s="94" t="n"/>
      <c r="I92" s="95" t="n"/>
    </row>
    <row r="93" hidden="1" s="82">
      <c r="A93" s="53" t="n"/>
      <c r="B93" s="3" t="n"/>
      <c r="C93" s="55" t="n"/>
      <c r="D93" s="55" t="n"/>
      <c r="E93" s="53" t="n"/>
      <c r="F93" s="55" t="n"/>
      <c r="G93" s="19" t="n"/>
      <c r="H93" s="94" t="n"/>
      <c r="I93" s="95" t="n"/>
    </row>
    <row r="94" hidden="1" s="82">
      <c r="A94" s="53" t="n"/>
      <c r="B94" s="3" t="n"/>
      <c r="C94" s="55" t="n"/>
      <c r="D94" s="55" t="n"/>
      <c r="E94" s="53" t="n"/>
      <c r="F94" s="55" t="n"/>
      <c r="G94" s="19" t="n"/>
      <c r="H94" s="94" t="n"/>
      <c r="I94" s="95" t="n"/>
    </row>
    <row r="95" hidden="1" s="82">
      <c r="A95" s="53" t="n"/>
      <c r="B95" s="3" t="n"/>
      <c r="C95" s="55" t="n"/>
      <c r="D95" s="55" t="n"/>
      <c r="E95" s="53" t="n"/>
      <c r="F95" s="55" t="n"/>
      <c r="G95" s="19" t="n"/>
      <c r="H95" s="94" t="n"/>
      <c r="I95" s="95" t="n"/>
    </row>
  </sheetData>
  <autoFilter ref="A11:K95">
    <filterColumn colId="6" hiddenButton="0" showButton="1">
      <customFilters>
        <customFilter val=" " operator="notEqual"/>
      </customFilters>
    </filterColumn>
  </autoFilter>
  <mergeCells count="16">
    <mergeCell ref="F3:G3"/>
    <mergeCell ref="F4:G4"/>
    <mergeCell ref="D2:I2"/>
    <mergeCell ref="H6:I6"/>
    <mergeCell ref="D1:I1"/>
    <mergeCell ref="E10:F10"/>
    <mergeCell ref="H7:I7"/>
    <mergeCell ref="F5:G5"/>
    <mergeCell ref="H5:I5"/>
    <mergeCell ref="F6:G6"/>
    <mergeCell ref="F8:G8"/>
    <mergeCell ref="H4:I4"/>
    <mergeCell ref="H8:I8"/>
    <mergeCell ref="E9:F9"/>
    <mergeCell ref="F7:G7"/>
    <mergeCell ref="H3:I3"/>
  </mergeCells>
  <conditionalFormatting sqref="D1:D11 D13 D16:D17 D20:D32 D35 D37:D38 D40:D62 D68:D69 D71:D86 D96:D1048576">
    <cfRule type="duplicateValues" priority="52" dxfId="0"/>
  </conditionalFormatting>
  <conditionalFormatting sqref="E87">
    <cfRule type="duplicateValues" priority="51" dxfId="0"/>
  </conditionalFormatting>
  <conditionalFormatting sqref="D87">
    <cfRule type="duplicateValues" priority="50" dxfId="0"/>
  </conditionalFormatting>
  <conditionalFormatting sqref="D88:D91">
    <cfRule type="duplicateValues" priority="49" dxfId="0"/>
    <cfRule type="duplicateValues" priority="48" dxfId="0"/>
  </conditionalFormatting>
  <conditionalFormatting sqref="D92">
    <cfRule type="duplicateValues" priority="47" dxfId="0"/>
    <cfRule type="duplicateValues" priority="46" dxfId="0"/>
  </conditionalFormatting>
  <conditionalFormatting sqref="C93:C94">
    <cfRule type="duplicateValues" priority="45" dxfId="0"/>
    <cfRule type="duplicateValues" priority="44" dxfId="0"/>
  </conditionalFormatting>
  <conditionalFormatting sqref="D93:D94">
    <cfRule type="duplicateValues" priority="43" dxfId="0"/>
    <cfRule type="duplicateValues" priority="42" dxfId="0"/>
  </conditionalFormatting>
  <conditionalFormatting sqref="B12">
    <cfRule type="duplicateValues" priority="41" dxfId="0"/>
  </conditionalFormatting>
  <conditionalFormatting sqref="D12">
    <cfRule type="duplicateValues" priority="40" dxfId="0"/>
  </conditionalFormatting>
  <conditionalFormatting sqref="B70">
    <cfRule type="duplicateValues" priority="39" dxfId="0"/>
  </conditionalFormatting>
  <conditionalFormatting sqref="D70">
    <cfRule type="duplicateValues" priority="38" dxfId="0"/>
  </conditionalFormatting>
  <conditionalFormatting sqref="B84">
    <cfRule type="duplicateValues" priority="37" dxfId="0"/>
  </conditionalFormatting>
  <conditionalFormatting sqref="D33:D34">
    <cfRule type="duplicateValues" priority="36" dxfId="0"/>
    <cfRule type="duplicateValues" priority="35" dxfId="0"/>
  </conditionalFormatting>
  <conditionalFormatting sqref="D36">
    <cfRule type="duplicateValues" priority="34" dxfId="0"/>
    <cfRule type="duplicateValues" priority="33" dxfId="0"/>
  </conditionalFormatting>
  <conditionalFormatting sqref="D39">
    <cfRule type="duplicateValues" priority="32" dxfId="0"/>
    <cfRule type="duplicateValues" priority="31" dxfId="0"/>
  </conditionalFormatting>
  <conditionalFormatting sqref="D1:D13 D16:D17 D20:D94 D96:D1048576">
    <cfRule type="duplicateValues" priority="30" dxfId="0"/>
  </conditionalFormatting>
  <conditionalFormatting sqref="A1:A13 A16:A17 A20:A94 A96:A1048576">
    <cfRule type="duplicateValues" priority="29" dxfId="0"/>
  </conditionalFormatting>
  <conditionalFormatting sqref="C95">
    <cfRule type="duplicateValues" priority="28" dxfId="0"/>
    <cfRule type="duplicateValues" priority="27" dxfId="0"/>
  </conditionalFormatting>
  <conditionalFormatting sqref="D95">
    <cfRule type="duplicateValues" priority="26" dxfId="0"/>
    <cfRule type="duplicateValues" priority="25" dxfId="0"/>
  </conditionalFormatting>
  <conditionalFormatting sqref="A95">
    <cfRule type="duplicateValues" priority="24" dxfId="0"/>
  </conditionalFormatting>
  <conditionalFormatting sqref="D1:D13 D16:D17 D20:D1048576">
    <cfRule type="duplicateValues" priority="23" dxfId="0"/>
  </conditionalFormatting>
  <conditionalFormatting sqref="A14:A15">
    <cfRule type="duplicateValues" priority="18" dxfId="0"/>
  </conditionalFormatting>
  <conditionalFormatting sqref="D18">
    <cfRule type="duplicateValues" priority="12" dxfId="0"/>
    <cfRule type="duplicateValues" priority="11" dxfId="0"/>
    <cfRule type="duplicateValues" priority="9" dxfId="0"/>
  </conditionalFormatting>
  <conditionalFormatting sqref="A18">
    <cfRule type="duplicateValues" priority="10" dxfId="0"/>
  </conditionalFormatting>
  <conditionalFormatting sqref="D15">
    <cfRule type="duplicateValues" priority="8" dxfId="0"/>
  </conditionalFormatting>
  <conditionalFormatting sqref="D14">
    <cfRule type="duplicateValues" priority="7" dxfId="0"/>
  </conditionalFormatting>
  <conditionalFormatting sqref="D14:D15">
    <cfRule type="duplicateValues" priority="6" dxfId="0"/>
    <cfRule type="duplicateValues" priority="5" dxfId="0"/>
  </conditionalFormatting>
  <conditionalFormatting sqref="D19">
    <cfRule type="duplicateValues" priority="4" dxfId="0"/>
    <cfRule type="duplicateValues" priority="3" dxfId="0"/>
    <cfRule type="duplicateValues" priority="1" dxfId="0"/>
  </conditionalFormatting>
  <conditionalFormatting sqref="A19">
    <cfRule type="duplicateValues" priority="2" dxfId="0"/>
  </conditionalFormatting>
  <pageMargins left="0.25" right="0.25" top="0.75" bottom="0.75" header="0.3" footer="0.3"/>
  <pageSetup orientation="portrait" paperSize="9" scale="6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2" sqref="A2"/>
    </sheetView>
  </sheetViews>
  <sheetFormatPr baseColWidth="8" defaultRowHeight="17"/>
  <cols>
    <col width="10.453125" bestFit="1" customWidth="1" style="82" min="1" max="1"/>
  </cols>
  <sheetData>
    <row r="1">
      <c r="A1" s="0" t="inlineStr">
        <is>
          <t>Petcare寵物</t>
        </is>
      </c>
    </row>
    <row r="2">
      <c r="A2" s="0" t="inlineStr">
        <is>
          <t>Gum糖果</t>
        </is>
      </c>
    </row>
    <row r="3">
      <c r="A3" s="0" t="inlineStr">
        <is>
          <t>Chocolate巧克力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Charles.Hsu(許信超)</dc:creator>
  <dcterms:created xmlns:dcterms="http://purl.org/dc/terms/" xmlns:xsi="http://www.w3.org/2001/XMLSchema-instance" xsi:type="dcterms:W3CDTF">2023-07-24T07:18:36Z</dcterms:created>
  <dcterms:modified xmlns:dcterms="http://purl.org/dc/terms/" xmlns:xsi="http://www.w3.org/2001/XMLSchema-instance" xsi:type="dcterms:W3CDTF">2026-09-16T08:35:45Z</dcterms:modified>
  <cp:lastModifiedBy>Shanin.Sun(孫雅慈)</cp:lastModifiedBy>
  <cp:lastPrinted>2023-08-19T02:10:40Z</cp:lastPrinted>
</cp:coreProperties>
</file>