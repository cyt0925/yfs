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10.37.90.10\外部支援空間\瑪氏\1. 通路客戶\4. 酷澎\1. 訂單\M9\0904_小單位+箱\TAO4\瑪氏採購單\"/>
    </mc:Choice>
  </mc:AlternateContent>
  <xr:revisionPtr revIDLastSave="0" documentId="8_{82B6369A-D2E1-4488-9ABB-4F840E9CF684}" xr6:coauthVersionLast="36" xr6:coauthVersionMax="36" xr10:uidLastSave="{00000000-0000-0000-0000-000000000000}"/>
  <bookViews>
    <workbookView xWindow="0" yWindow="0" windowWidth="19200" windowHeight="7960" xr2:uid="{00000000-000D-0000-FFFF-FFFF00000000}"/>
  </bookViews>
  <sheets>
    <sheet name="採購總表 " sheetId="9" r:id="rId1"/>
    <sheet name="清單" sheetId="10" r:id="rId2"/>
  </sheets>
  <definedNames>
    <definedName name="_xlnm._FilterDatabase" localSheetId="0" hidden="1">'採購總表 '!$A$11:$K$95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9" i="9" l="1"/>
  <c r="I18" i="9" l="1"/>
  <c r="I15" i="9"/>
  <c r="I14" i="9"/>
  <c r="G10" i="9" l="1"/>
  <c r="I95" i="9" l="1"/>
  <c r="F95" i="9"/>
  <c r="I94" i="9" l="1"/>
  <c r="F94" i="9"/>
  <c r="I93" i="9"/>
  <c r="F93" i="9"/>
  <c r="I92" i="9" l="1"/>
  <c r="F92" i="9"/>
  <c r="I88" i="9" l="1"/>
  <c r="I89" i="9"/>
  <c r="I90" i="9"/>
  <c r="I91" i="9"/>
  <c r="F91" i="9"/>
  <c r="F90" i="9"/>
  <c r="F89" i="9"/>
  <c r="F88" i="9"/>
  <c r="I87" i="9" l="1"/>
  <c r="I85" i="9" l="1"/>
  <c r="I86" i="9"/>
  <c r="I57" i="9" l="1"/>
  <c r="I24" i="9" l="1"/>
  <c r="I25" i="9"/>
  <c r="I80" i="9" l="1"/>
  <c r="I81" i="9"/>
  <c r="I82" i="9"/>
  <c r="I83" i="9"/>
  <c r="I84" i="9"/>
  <c r="I56" i="9" l="1"/>
  <c r="I55" i="9"/>
  <c r="I79" i="9" l="1"/>
  <c r="I78" i="9"/>
  <c r="I77" i="9"/>
  <c r="I76" i="9"/>
  <c r="I75" i="9"/>
  <c r="I74" i="9"/>
  <c r="I73" i="9"/>
  <c r="I72" i="9"/>
  <c r="I71" i="9"/>
  <c r="I70" i="9" l="1"/>
  <c r="I60" i="9" l="1"/>
  <c r="I61" i="9"/>
  <c r="I62" i="9"/>
  <c r="I63" i="9"/>
  <c r="I64" i="9"/>
  <c r="I65" i="9"/>
  <c r="I66" i="9"/>
  <c r="I67" i="9"/>
  <c r="I68" i="9"/>
  <c r="I69" i="9"/>
  <c r="I13" i="9" l="1"/>
  <c r="I16" i="9"/>
  <c r="I17" i="9"/>
  <c r="I20" i="9"/>
  <c r="I21" i="9"/>
  <c r="I22" i="9"/>
  <c r="I23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8" i="9"/>
  <c r="I59" i="9"/>
  <c r="I12" i="9"/>
  <c r="H10" i="9" l="1"/>
  <c r="I10" i="9" s="1"/>
</calcChain>
</file>

<file path=xl/sharedStrings.xml><?xml version="1.0" encoding="utf-8"?>
<sst xmlns="http://schemas.openxmlformats.org/spreadsheetml/2006/main" count="256" uniqueCount="241">
  <si>
    <t>備註</t>
  </si>
  <si>
    <t>瑪氏貨號</t>
  </si>
  <si>
    <t>系統品名(中文)</t>
  </si>
  <si>
    <t>MARS  TAIWAN 台灣瑪氏股份有限公司</t>
  </si>
  <si>
    <t>入倉倉別:</t>
  </si>
  <si>
    <t>ship-to:</t>
  </si>
  <si>
    <t>送貨地址:</t>
  </si>
  <si>
    <t>合計</t>
    <phoneticPr fontId="2" type="noConversion"/>
  </si>
  <si>
    <t>採購合計(含稅)</t>
    <phoneticPr fontId="2" type="noConversion"/>
  </si>
  <si>
    <t>採購合計(未稅)</t>
    <phoneticPr fontId="2" type="noConversion"/>
  </si>
  <si>
    <t xml:space="preserve">送貨聯絡人 : </t>
    <phoneticPr fontId="2" type="noConversion"/>
  </si>
  <si>
    <t>送貨連絡電話 :</t>
    <phoneticPr fontId="2" type="noConversion"/>
  </si>
  <si>
    <t>永豐PO單號</t>
    <phoneticPr fontId="2" type="noConversion"/>
  </si>
  <si>
    <t>下單公司名稱</t>
    <phoneticPr fontId="2" type="noConversion"/>
  </si>
  <si>
    <t xml:space="preserve">下單日: </t>
    <phoneticPr fontId="2" type="noConversion"/>
  </si>
  <si>
    <t xml:space="preserve">  ORDER FORM 訂貨通知單</t>
    <phoneticPr fontId="2" type="noConversion"/>
  </si>
  <si>
    <t>總箱數</t>
    <phoneticPr fontId="2" type="noConversion"/>
  </si>
  <si>
    <t>每箱中盒數</t>
  </si>
  <si>
    <t>採購小計
(未稅)</t>
    <phoneticPr fontId="2" type="noConversion"/>
  </si>
  <si>
    <t>採購數量
(箱)</t>
    <phoneticPr fontId="2" type="noConversion"/>
  </si>
  <si>
    <t>Petcare寵物</t>
    <phoneticPr fontId="2" type="noConversion"/>
  </si>
  <si>
    <t>Gum糖果</t>
    <phoneticPr fontId="2" type="noConversion"/>
  </si>
  <si>
    <t>Chocolate巧克力</t>
    <phoneticPr fontId="2" type="noConversion"/>
  </si>
  <si>
    <t>Airwaves Super 極酷嗆涼無糖口香糖極酷薄荷口味62gx10x6</t>
  </si>
  <si>
    <t>Airwaves 超涼無糖口香糖 超涼薄荷口味 62gx10x6</t>
  </si>
  <si>
    <t>Airwaves 超涼無糖口香糖 冰釀葡萄口味 62gx10x6</t>
  </si>
  <si>
    <t>Airwaves 超涼無糖口香糖 蜂蜜檸檬口味 62gx10x6</t>
  </si>
  <si>
    <t>Airwaves Super 極酷嗆涼無糖口香糖紫冰野莓口味 62gx10x6</t>
  </si>
  <si>
    <t>Airwaves超涼無糖口香糖冷萃咖啡口味62gx10x6</t>
  </si>
  <si>
    <t>Airwaves 超涼無糖口香糖 超涼薄荷口味 (28gx5)x30</t>
  </si>
  <si>
    <t>Airwaves Super 極酷嗆涼無糖口香糖極酷薄荷口味(28gx5)x30</t>
  </si>
  <si>
    <t>Airwaves Super 極酷嗆涼無糖口香糖紫冰野莓口味(28gx5)x30</t>
  </si>
  <si>
    <t>Airwaves酷涼FUN塊 冰爽薄荷口味28.6gx10x8</t>
  </si>
  <si>
    <t>Airwaves酷涼FUN塊 冰爽檸檬口味28.6gx10x8</t>
  </si>
  <si>
    <t>Airwaves酷涼FUN塊 冰爽薄荷口味37.4gx20</t>
  </si>
  <si>
    <t>Airwaves酷涼FUN塊 冰爽檸檬口味37.4gx20</t>
  </si>
  <si>
    <t>益齒達 無糖口香糖 清檸薄荷口味 62gx10x6</t>
  </si>
  <si>
    <t>益齒達 無糖口香糖 青蘋萊姆口味 62gx10x6</t>
  </si>
  <si>
    <t>益齒達 木糖醇無糖口香糖 香甜葡萄口味 62gx10x6</t>
  </si>
  <si>
    <t>易口舒 無糖薄荷錠 勁爽薄荷口味 31gx8x12</t>
  </si>
  <si>
    <t>易口舒 無糖薄荷錠 沁涼薄荷口味 31gx8x12</t>
  </si>
  <si>
    <t>易口舒 無糖薄荷錠 沁新檸檬口味 31gx8x12</t>
  </si>
  <si>
    <t>易口舒 無糖薄荷錠 清爽蜜桃口味 31gx8x12</t>
  </si>
  <si>
    <t>易口舒 無糖薄荷錠 繽紛野莓口味 31gx8x12</t>
  </si>
  <si>
    <t>易口舒沁甜西瓜口味 30gx8x12</t>
  </si>
  <si>
    <t>易口舒 無糖薄荷錠 2入組 勁爽薄荷口味 (31gx2)x24</t>
  </si>
  <si>
    <t>易口舒 無糖薄荷錠 2入組 沁涼薄荷口味 (31gx2)x24</t>
  </si>
  <si>
    <t>易口舒 無糖薄荷錠 2入組 繽紛野莓口味 (31gx2)x24</t>
  </si>
  <si>
    <t>易口舒 無糖薄荷錠 2入組 沁新檸檬口味 (31gx2)x24</t>
  </si>
  <si>
    <t>易口舒 無糖薄荷錠 2入組 清爽蜜桃口味 (31gx2)x24</t>
  </si>
  <si>
    <t>易口舒 無糖薄荷錠 2入組 西瓜口味 (30gx2)x24</t>
  </si>
  <si>
    <t>易口舒 無糖薄荷錠 勁爽薄荷口味 150gx10</t>
  </si>
  <si>
    <t>青箭 粒裝口香糖 薄荷口味 82.6gx10x6</t>
  </si>
  <si>
    <t>易口舒+ 草本潤喉薄荷糖-蜂蜜檸檬口味30gx8x12</t>
  </si>
  <si>
    <t>易口舒+ 草本潤喉薄荷糖-枇杷秋梨口味30gx8x12</t>
  </si>
  <si>
    <t>易口舒 - 葡萄  30g*8*12</t>
  </si>
  <si>
    <t>系統價格
(未稅)</t>
  </si>
  <si>
    <t>Gum糖果</t>
    <phoneticPr fontId="2" type="noConversion"/>
  </si>
  <si>
    <t>易口舒 脆皮軟心薄荷糖 勁爽薄荷口味 46gx20</t>
  </si>
  <si>
    <t>易口舒 脆皮軟心薄荷糖 檸檬薄荷口味 46gx20</t>
  </si>
  <si>
    <t>P8上架</t>
  </si>
  <si>
    <t>10236061 降規轉</t>
  </si>
  <si>
    <t>10236069 降規轉</t>
  </si>
  <si>
    <t>永豐料號</t>
  </si>
  <si>
    <t>M10254104</t>
  </si>
  <si>
    <t>M10254053</t>
  </si>
  <si>
    <t>M10254023</t>
  </si>
  <si>
    <t>M10254017</t>
  </si>
  <si>
    <t>M10254073</t>
  </si>
  <si>
    <t>M10254005</t>
  </si>
  <si>
    <t>M10254049</t>
  </si>
  <si>
    <t>M10254079</t>
  </si>
  <si>
    <t>M10254059</t>
  </si>
  <si>
    <t>M10239993</t>
  </si>
  <si>
    <t>M10239996</t>
  </si>
  <si>
    <t>M10240003</t>
  </si>
  <si>
    <t>M10240013</t>
  </si>
  <si>
    <t>M10254132</t>
  </si>
  <si>
    <t>M10254124</t>
  </si>
  <si>
    <t>M10254158</t>
  </si>
  <si>
    <t>M10266388</t>
  </si>
  <si>
    <t>M10266394</t>
  </si>
  <si>
    <t>M10266361</t>
  </si>
  <si>
    <t>M10266385</t>
  </si>
  <si>
    <t>M10266356</t>
  </si>
  <si>
    <t>M10266398</t>
  </si>
  <si>
    <t>M10267024</t>
  </si>
  <si>
    <t>M10266591</t>
  </si>
  <si>
    <t>M10266603</t>
  </si>
  <si>
    <t>M10266605</t>
  </si>
  <si>
    <t>M10266607</t>
  </si>
  <si>
    <t>M10266609</t>
  </si>
  <si>
    <t>M10266611</t>
  </si>
  <si>
    <t>M10236063</t>
  </si>
  <si>
    <t>M10267031</t>
  </si>
  <si>
    <t>M10267034</t>
  </si>
  <si>
    <t>M10236054</t>
  </si>
  <si>
    <t>M10236068</t>
  </si>
  <si>
    <t>M10236060</t>
  </si>
  <si>
    <t>M10236022</t>
  </si>
  <si>
    <t>M10246885</t>
  </si>
  <si>
    <t>M10274122</t>
  </si>
  <si>
    <t>10242479 轉貨號</t>
  </si>
  <si>
    <t>Airwaves 超涼薄荷錠 酷涼薄荷口味 24.3gx8x12</t>
  </si>
  <si>
    <t>Airwaves 超涼薄荷錠 蜂蜜檸檬口味(Y5) 24.3gx8x12</t>
  </si>
  <si>
    <t>M10283138</t>
  </si>
  <si>
    <t>M10283141</t>
  </si>
  <si>
    <t>10242518 轉貨號</t>
  </si>
  <si>
    <t>10242521 轉貨號</t>
  </si>
  <si>
    <t>【Airwaves】超涼無糖薄荷糖 蜂蜜檸檬 (30g*3)*12*4</t>
  </si>
  <si>
    <t>【Airwaves】超涼無糖薄荷糖 超涼薄荷 (30g*3)*12*4</t>
  </si>
  <si>
    <t>【Skittles彩虹糖】混合水果口味量販包 樂享包 135g*24</t>
  </si>
  <si>
    <t>M10285808</t>
  </si>
  <si>
    <t>M10286469</t>
  </si>
  <si>
    <t>M10286472</t>
  </si>
  <si>
    <t>M10280319</t>
  </si>
  <si>
    <t>M10280316</t>
  </si>
  <si>
    <t>M10280311</t>
  </si>
  <si>
    <t>M10280322</t>
  </si>
  <si>
    <t>M10280226</t>
  </si>
  <si>
    <t>M10280224</t>
  </si>
  <si>
    <t>4/17 開賣 4/1打單</t>
  </si>
  <si>
    <t>10254148 轉</t>
  </si>
  <si>
    <t>10254130 轉</t>
  </si>
  <si>
    <t>【Airwaves】超涼無糖口香糖 超涼薄荷 14g*20*30</t>
  </si>
  <si>
    <t>【Extra益齒達】潔淨無糖口香糖 薄荷 14g*20*30</t>
  </si>
  <si>
    <t>【Extra益齒達】潔淨無糖口香糖 清檸薄荷 14g*20*30</t>
  </si>
  <si>
    <t>【Extra益齒達】潔淨無糖口香糖 薄荷 62g*10*6</t>
  </si>
  <si>
    <t>【Extra益齒達】潔淨無糖口香糖 清檸薄荷 62g*10*6</t>
  </si>
  <si>
    <t>【Extra益齒達】潔淨無糖口香糖 青蘋萊姆 62g*10*6</t>
  </si>
  <si>
    <t>【Extra益齒達】潔淨無糖口香糖 香甜葡萄 62g*10*6</t>
  </si>
  <si>
    <t>【Extra益齒達】潔淨無糖口香糖 香濃密瓜 62g*10*6</t>
  </si>
  <si>
    <t>【Extra益齒達】潔淨無糖口香糖 薄荷 (28g*5)*30</t>
  </si>
  <si>
    <t>【Extra益齒達】潔淨無糖口香糖 清檸薄荷 (28g*5)*30</t>
  </si>
  <si>
    <t>M10280325</t>
    <phoneticPr fontId="2" type="noConversion"/>
  </si>
  <si>
    <t>盒單位
數量</t>
    <phoneticPr fontId="2" type="noConversion"/>
  </si>
  <si>
    <t>M10254108</t>
  </si>
  <si>
    <t>【Airwaves】Super 極酷嗆涼無糖口香糖 冰炫薄荷 62g*10*6</t>
  </si>
  <si>
    <t>M10254020</t>
  </si>
  <si>
    <t>【Airwaves】超涼無糖口香糖 冰釀葡萄 28g*10*18</t>
  </si>
  <si>
    <t>M10253962</t>
  </si>
  <si>
    <t>【Airwaves】超涼無糖口香糖 冷萃咖啡 28g*10*18</t>
  </si>
  <si>
    <t>M10254014</t>
  </si>
  <si>
    <t>【Airwaves】超涼無糖口香糖 蜂蜜檸檬 28g*10*18</t>
  </si>
  <si>
    <t>M10254008</t>
  </si>
  <si>
    <t>【Airwaves】超涼無糖口香糖 暢涼可樂 28g*10*18</t>
  </si>
  <si>
    <t>M10266643</t>
  </si>
  <si>
    <t>【Doublemint青箭】粒裝口香糖 薄荷口味 (28g*5)*12</t>
  </si>
  <si>
    <t>M10281737</t>
  </si>
  <si>
    <t>【Doublemint青箭】金裝口香糖 清新薄荷口味 49.3g*12*15</t>
  </si>
  <si>
    <t>M10281733</t>
  </si>
  <si>
    <t>【Doublemint青箭】片裝口香糖 原味薄荷口味 51g*12*15</t>
  </si>
  <si>
    <t>M10266407</t>
  </si>
  <si>
    <t>【Doublemint青箭】片裝口香糖 原味薄荷口味 21g*20*36</t>
  </si>
  <si>
    <t>M10273381</t>
  </si>
  <si>
    <t>【Skittles彩虹糖】彩虹軟糖 混合水果口味 45g*12*16</t>
  </si>
  <si>
    <t>益齒達 木糖醇無糖口香糖 香濃密瓜口味 28gx10x18</t>
  </si>
  <si>
    <t>益齒達 木糖醇無糖口香糖 香甜葡萄口味 28gx10x18</t>
  </si>
  <si>
    <t>益齒達 無糖口香糖 青蘋萊姆口味 28gx10x18</t>
  </si>
  <si>
    <t>益齒達 木糖醇無糖口香糖 沁甜草莓口味 28gx10x18</t>
  </si>
  <si>
    <t>M10280205</t>
  </si>
  <si>
    <t>M10280202</t>
  </si>
  <si>
    <t>M10280193</t>
  </si>
  <si>
    <t>M10280211</t>
  </si>
  <si>
    <t>【Airwaves】超涼無糖口香糖 微冰藍莓 62g*10*6</t>
  </si>
  <si>
    <t>M10403821</t>
    <phoneticPr fontId="2" type="noConversion"/>
  </si>
  <si>
    <t>M10224068</t>
    <phoneticPr fontId="2" type="noConversion"/>
  </si>
  <si>
    <t>【Skittles彩虹糖】軟糖 混合水果口味 分享包 164.4g*12</t>
  </si>
  <si>
    <t>M10254347</t>
    <phoneticPr fontId="2" type="noConversion"/>
  </si>
  <si>
    <t>【Skittles彩虹糖】彩虹軟糖 繽紛果昔口味 38g*14*12</t>
  </si>
  <si>
    <t>M10280220</t>
  </si>
  <si>
    <t>限定IP包裝</t>
  </si>
  <si>
    <t>【Airwaves】 Super 極酷嗆涼無糖口香糖 紫冰野莓口味 (28gx5)x30 (IP Pack)</t>
  </si>
  <si>
    <t>M10280222</t>
  </si>
  <si>
    <t>【Airwaves】Super 極酷嗆涼無糖口香糖 極酷薄荷口味 (28gx5)x30 (IP Pack)</t>
  </si>
  <si>
    <t>M60010801</t>
    <phoneticPr fontId="2" type="noConversion"/>
  </si>
  <si>
    <t>P9上架</t>
    <phoneticPr fontId="2" type="noConversion"/>
  </si>
  <si>
    <t>【Skittles彩虹糖】彩虹軟糖 酸甜水果口味 40g*12*16</t>
    <phoneticPr fontId="2" type="noConversion"/>
  </si>
  <si>
    <t>【Airwaves】Super 極酷嗆涼無糖口香糖 極酷薄荷 28g*10*18</t>
  </si>
  <si>
    <t>【Airwaves】Super 極酷嗆涼無糖口香糖 紫冰野莓 28g*10*18</t>
  </si>
  <si>
    <t>酷澎專案品</t>
    <phoneticPr fontId="2" type="noConversion"/>
  </si>
  <si>
    <t>M10280142</t>
    <phoneticPr fontId="2" type="noConversion"/>
  </si>
  <si>
    <t>【Extra益齒達】潔淨無糖口香糖 薄荷 (92.4g*4)*18</t>
    <phoneticPr fontId="2" type="noConversion"/>
  </si>
  <si>
    <t>需加工貼小白標</t>
  </si>
  <si>
    <t>加工小白標標示保存期限</t>
  </si>
  <si>
    <t>M10254076-1</t>
    <phoneticPr fontId="2" type="noConversion"/>
  </si>
  <si>
    <t>M10254056-1</t>
    <phoneticPr fontId="2" type="noConversion"/>
  </si>
  <si>
    <t>M10402207</t>
    <phoneticPr fontId="2" type="noConversion"/>
  </si>
  <si>
    <t>【Eclipse易口舒】無糖薄荷錠 清爽蜜桃 心型錠 31g*8*12</t>
  </si>
  <si>
    <t>M10402210</t>
    <phoneticPr fontId="2" type="noConversion"/>
  </si>
  <si>
    <t>【Eclipse易口舒】無糖薄荷錠 勁爽薄荷 心型錠 31g*8*12</t>
  </si>
  <si>
    <t>M10402373</t>
    <phoneticPr fontId="2" type="noConversion"/>
  </si>
  <si>
    <t>【Eclipse易口舒】無糖薄荷錠 繽紛野莓 心型錠 31g*8*12</t>
  </si>
  <si>
    <t>M60014717</t>
    <phoneticPr fontId="2" type="noConversion"/>
  </si>
  <si>
    <t>【Eclipse易口舒】無糖薄荷錠 沁香葡萄 心型錠 30g*8*12</t>
  </si>
  <si>
    <t>M10254046</t>
    <phoneticPr fontId="2" type="noConversion"/>
  </si>
  <si>
    <t>【Airwaves】超涼無糖口香糖 超涼薄荷 28g*30*6</t>
  </si>
  <si>
    <t xml:space="preserve">配送日: </t>
  </si>
  <si>
    <t>M60019236</t>
    <phoneticPr fontId="2" type="noConversion"/>
  </si>
  <si>
    <t>【Airwaves】超涼無糖口香糖 超涼薄荷 (62g*2)*10*3</t>
  </si>
  <si>
    <t>M60019232</t>
    <phoneticPr fontId="2" type="noConversion"/>
  </si>
  <si>
    <t>【Airwaves】Super 極酷嗆涼無糖口香糖 紫冰野莓 (62g*2)*10*3</t>
  </si>
  <si>
    <t>10254152&gt;60019110</t>
    <phoneticPr fontId="2" type="noConversion"/>
  </si>
  <si>
    <t>10254132&gt;60019107</t>
    <phoneticPr fontId="2" type="noConversion"/>
  </si>
  <si>
    <t>10254124&gt;60019104</t>
    <phoneticPr fontId="2" type="noConversion"/>
  </si>
  <si>
    <t>10254158&gt;60019113</t>
    <phoneticPr fontId="2" type="noConversion"/>
  </si>
  <si>
    <t>10254164&gt;60019116</t>
    <phoneticPr fontId="2" type="noConversion"/>
  </si>
  <si>
    <t>10236054&gt;60019100</t>
    <phoneticPr fontId="2" type="noConversion"/>
  </si>
  <si>
    <t>10254104&gt;60019819</t>
    <phoneticPr fontId="2" type="noConversion"/>
  </si>
  <si>
    <t>10254108&gt;60019828</t>
    <phoneticPr fontId="2" type="noConversion"/>
  </si>
  <si>
    <t>10403821&gt;60019831</t>
    <phoneticPr fontId="2" type="noConversion"/>
  </si>
  <si>
    <t>10254079&gt;60019817</t>
    <phoneticPr fontId="2" type="noConversion"/>
  </si>
  <si>
    <t>10254053&gt;60019810</t>
    <phoneticPr fontId="2" type="noConversion"/>
  </si>
  <si>
    <t>10254049&gt;60019808</t>
    <phoneticPr fontId="2" type="noConversion"/>
  </si>
  <si>
    <t>10254059&gt;60020655</t>
    <phoneticPr fontId="2" type="noConversion"/>
  </si>
  <si>
    <t>M60017761</t>
    <phoneticPr fontId="2" type="noConversion"/>
  </si>
  <si>
    <t>【Extra益齒達】潔淨無糖口香糖 清甜水蜜桃 62g*10*6</t>
  </si>
  <si>
    <t>10254017&gt;60020649</t>
    <phoneticPr fontId="2" type="noConversion"/>
  </si>
  <si>
    <t>10254020&gt;60020634</t>
    <phoneticPr fontId="2" type="noConversion"/>
  </si>
  <si>
    <t>10254005&gt;60020646</t>
    <phoneticPr fontId="2" type="noConversion"/>
  </si>
  <si>
    <t>10266394&gt;60018807城市包&gt;10266394</t>
    <phoneticPr fontId="2" type="noConversion"/>
  </si>
  <si>
    <t>10266385&gt;60018777城市包&gt;10266385</t>
    <phoneticPr fontId="2" type="noConversion"/>
  </si>
  <si>
    <t>10267024&gt;60018821城市包&gt;10267024</t>
    <phoneticPr fontId="2" type="noConversion"/>
  </si>
  <si>
    <t>10266388&gt;60018801城市包&gt;10266388</t>
    <phoneticPr fontId="2" type="noConversion"/>
  </si>
  <si>
    <t>10254046&gt;60019575</t>
    <phoneticPr fontId="2" type="noConversion"/>
  </si>
  <si>
    <t>酷澎出原包裝</t>
    <phoneticPr fontId="2" type="noConversion"/>
  </si>
  <si>
    <t>10254073&gt;60020657&gt;60023882(IP)</t>
    <phoneticPr fontId="2" type="noConversion"/>
  </si>
  <si>
    <t>10254104&gt;60019819&gt;60023883(IP)</t>
    <phoneticPr fontId="2" type="noConversion"/>
  </si>
  <si>
    <t>10254053&gt;60019810&gt;60023881(IP)</t>
    <phoneticPr fontId="2" type="noConversion"/>
  </si>
  <si>
    <t>10254073&gt;60020657</t>
    <phoneticPr fontId="2" type="noConversion"/>
  </si>
  <si>
    <t>停產</t>
    <phoneticPr fontId="2" type="noConversion"/>
  </si>
  <si>
    <t>永豐商店股份有限公司</t>
  </si>
  <si>
    <t>customer code</t>
  </si>
  <si>
    <t>特殊需求</t>
  </si>
  <si>
    <t>酷澎-TAO4</t>
  </si>
  <si>
    <t>效期要求</t>
  </si>
  <si>
    <t>3/5 效期以上</t>
    <phoneticPr fontId="2" type="noConversion"/>
  </si>
  <si>
    <t>桃園市觀音區玉林路一段523號</t>
  </si>
  <si>
    <t>02-5592-7598</t>
    <phoneticPr fontId="2" type="noConversion"/>
  </si>
  <si>
    <t>酷澎</t>
    <phoneticPr fontId="2" type="noConversion"/>
  </si>
  <si>
    <t>板麥，需當面對點數量
司機需加入TAO4 line領取排隊號碼
酷澎嘜頭+驗收單
進倉時間11:00~11:30（1台車）
*請於11:00前抵達，以免被算遲到，謝謝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</si>
</sst>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_-* #,##0_-;\-* #,##0_-;_-* &quot;-&quot;??_-;_-@_-"/>
  </numFmts>
  <fonts count="1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4"/>
      <color rgb="FF0070C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6"/>
      <color theme="1"/>
      <name val="微軟正黑體"/>
      <family val="2"/>
      <charset val="136"/>
    </font>
    <font>
      <b/>
      <sz val="11"/>
      <color rgb="FFFF0000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43" fontId="4" fillId="0" borderId="1" xfId="1" applyFont="1" applyFill="1" applyBorder="1">
      <alignment vertical="center"/>
    </xf>
    <xf numFmtId="0" fontId="6" fillId="3" borderId="1" xfId="0" applyFont="1" applyFill="1" applyBorder="1" applyAlignment="1">
      <alignment horizontal="center" vertical="center"/>
    </xf>
    <xf numFmtId="176" fontId="6" fillId="3" borderId="1" xfId="1" applyNumberFormat="1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14" fontId="4" fillId="0" borderId="3" xfId="0" applyNumberFormat="1" applyFont="1" applyBorder="1">
      <alignment vertical="center"/>
    </xf>
    <xf numFmtId="14" fontId="6" fillId="0" borderId="3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 wrapText="1"/>
    </xf>
    <xf numFmtId="43" fontId="4" fillId="5" borderId="1" xfId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9" fillId="8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3" fontId="10" fillId="0" borderId="1" xfId="1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11" fillId="7" borderId="0" xfId="0" applyFont="1" applyFill="1" applyAlignment="1">
      <alignment vertical="center" wrapText="1"/>
    </xf>
    <xf numFmtId="0" fontId="10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>
      <alignment vertical="center"/>
    </xf>
    <xf numFmtId="0" fontId="4" fillId="10" borderId="1" xfId="0" applyFont="1" applyFill="1" applyBorder="1" applyAlignment="1">
      <alignment horizontal="center" vertical="center"/>
    </xf>
    <xf numFmtId="43" fontId="4" fillId="10" borderId="1" xfId="1" applyFont="1" applyFill="1" applyBorder="1">
      <alignment vertical="center"/>
    </xf>
    <xf numFmtId="0" fontId="4" fillId="10" borderId="0" xfId="0" applyFont="1" applyFill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14" fontId="3" fillId="0" borderId="3" xfId="0" applyNumberFormat="1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vertical="center" wrapText="1"/>
    </xf>
    <xf numFmtId="0" fontId="12" fillId="2" borderId="3" xfId="0" applyFont="1" applyFill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</cellXfs>
  <cellStyles count="2">
    <cellStyle name="一般" xfId="0" builtinId="0"/>
    <cellStyle name="千分位" xfId="1" builtinId="3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J95"/>
  <sheetViews>
    <sheetView tabSelected="1" zoomScale="59" zoomScaleNormal="59" workbookViewId="0">
      <selection activeCell="G101" sqref="G101"/>
    </sheetView>
  </sheetViews>
  <sheetFormatPr defaultColWidth="8.7265625" defaultRowHeight="15.5" outlineLevelCol="1" x14ac:dyDescent="0.4"/>
  <cols>
    <col min="1" max="1" width="14.453125" style="2" customWidth="1" outlineLevel="1"/>
    <col min="2" max="2" width="41.26953125" style="2" customWidth="1" outlineLevel="1"/>
    <col min="3" max="3" width="8.7265625" style="2" customWidth="1" outlineLevel="1"/>
    <col min="4" max="4" width="18.6328125" style="2" customWidth="1"/>
    <col min="5" max="5" width="59.36328125" style="2" customWidth="1"/>
    <col min="6" max="6" width="8.26953125" style="16" customWidth="1"/>
    <col min="7" max="7" width="12.36328125" style="2" customWidth="1"/>
    <col min="8" max="8" width="16.36328125" style="2" customWidth="1"/>
    <col min="9" max="9" width="15.7265625" style="2" customWidth="1"/>
    <col min="10" max="10" width="22.90625" style="2" customWidth="1"/>
    <col min="11" max="11" width="8.7265625" style="2"/>
    <col min="12" max="12" width="11.453125" style="2" bestFit="1" customWidth="1"/>
    <col min="13" max="13" width="12.08984375" style="2" bestFit="1" customWidth="1"/>
    <col min="14" max="14" width="11.453125" style="2" bestFit="1" customWidth="1"/>
    <col min="15" max="15" width="12.26953125" style="2" customWidth="1"/>
    <col min="16" max="16" width="9.6328125" style="2" bestFit="1" customWidth="1"/>
    <col min="17" max="16384" width="8.7265625" style="2"/>
  </cols>
  <sheetData>
    <row r="1" spans="1:10" ht="18" x14ac:dyDescent="0.4">
      <c r="D1" s="72" t="s">
        <v>3</v>
      </c>
      <c r="E1" s="72"/>
      <c r="F1" s="72"/>
      <c r="G1" s="72"/>
      <c r="H1" s="72"/>
      <c r="I1" s="72"/>
    </row>
    <row r="2" spans="1:10" ht="18" x14ac:dyDescent="0.4">
      <c r="D2" s="72" t="s">
        <v>15</v>
      </c>
      <c r="E2" s="72"/>
      <c r="F2" s="72"/>
      <c r="G2" s="72"/>
      <c r="H2" s="72"/>
      <c r="I2" s="72"/>
    </row>
    <row r="3" spans="1:10" ht="23.5" customHeight="1" x14ac:dyDescent="0.4">
      <c r="D3" s="17" t="s">
        <v>14</v>
      </c>
      <c r="E3" s="11">
        <v>46267</v>
      </c>
      <c r="F3" s="70" t="s">
        <v>197</v>
      </c>
      <c r="G3" s="71"/>
      <c r="H3" s="75">
        <v>46269</v>
      </c>
      <c r="I3" s="76"/>
    </row>
    <row r="4" spans="1:10" ht="23.5" customHeight="1" x14ac:dyDescent="0.4">
      <c r="D4" s="17" t="s">
        <v>13</v>
      </c>
      <c r="E4" s="10" t="s">
        <v>231</v>
      </c>
      <c r="F4" s="70" t="s">
        <v>232</v>
      </c>
      <c r="G4" s="71"/>
      <c r="H4" s="77">
        <v>17616972</v>
      </c>
      <c r="I4" s="78"/>
    </row>
    <row r="5" spans="1:10" ht="130" customHeight="1" x14ac:dyDescent="0.4">
      <c r="D5" s="17" t="s">
        <v>12</v>
      </c>
      <c r="E5" s="79"/>
      <c r="F5" s="68" t="s">
        <v>233</v>
      </c>
      <c r="G5" s="69"/>
      <c r="H5" s="80" t="s">
        <v>240</v>
      </c>
      <c r="I5" s="81"/>
    </row>
    <row r="6" spans="1:10" ht="23.5" customHeight="1" x14ac:dyDescent="0.4">
      <c r="D6" s="17" t="s">
        <v>4</v>
      </c>
      <c r="E6" s="21" t="s">
        <v>234</v>
      </c>
      <c r="F6" s="68" t="s">
        <v>235</v>
      </c>
      <c r="G6" s="69"/>
      <c r="H6" s="73" t="s">
        <v>236</v>
      </c>
      <c r="I6" s="74"/>
    </row>
    <row r="7" spans="1:10" ht="23.5" customHeight="1" x14ac:dyDescent="0.4">
      <c r="D7" s="17" t="s">
        <v>6</v>
      </c>
      <c r="E7" s="21" t="s">
        <v>237</v>
      </c>
      <c r="F7" s="68" t="s">
        <v>5</v>
      </c>
      <c r="G7" s="69"/>
      <c r="H7" s="62">
        <v>17647742</v>
      </c>
      <c r="I7" s="63"/>
    </row>
    <row r="8" spans="1:10" ht="23.5" customHeight="1" x14ac:dyDescent="0.4">
      <c r="D8" s="17" t="s">
        <v>11</v>
      </c>
      <c r="E8" s="21" t="s">
        <v>238</v>
      </c>
      <c r="F8" s="70" t="s">
        <v>10</v>
      </c>
      <c r="G8" s="71"/>
      <c r="H8" s="70" t="s">
        <v>239</v>
      </c>
      <c r="I8" s="71"/>
    </row>
    <row r="9" spans="1:10" x14ac:dyDescent="0.4">
      <c r="D9" s="1"/>
      <c r="E9" s="64"/>
      <c r="F9" s="65"/>
      <c r="G9" s="1" t="s">
        <v>16</v>
      </c>
      <c r="H9" s="1" t="s">
        <v>9</v>
      </c>
      <c r="I9" s="1" t="s">
        <v>8</v>
      </c>
    </row>
    <row r="10" spans="1:10" ht="23.5" x14ac:dyDescent="0.4">
      <c r="D10" s="6" t="s">
        <v>7</v>
      </c>
      <c r="E10" s="66" t="s">
        <v>57</v>
      </c>
      <c r="F10" s="67"/>
      <c r="G10" s="7">
        <f>SUM(G12:G203)</f>
        <v>3</v>
      </c>
      <c r="H10" s="8">
        <f>SUM(I12:I203)</f>
        <v>14733.990000000002</v>
      </c>
      <c r="I10" s="8">
        <f>H10*1.05</f>
        <v>15470.689500000002</v>
      </c>
    </row>
    <row r="11" spans="1:10" s="15" customFormat="1" ht="42.65" customHeight="1" x14ac:dyDescent="0.4">
      <c r="A11" s="18" t="s">
        <v>63</v>
      </c>
      <c r="B11" s="9" t="s">
        <v>0</v>
      </c>
      <c r="C11" s="9" t="s">
        <v>17</v>
      </c>
      <c r="D11" s="9" t="s">
        <v>1</v>
      </c>
      <c r="E11" s="9" t="s">
        <v>2</v>
      </c>
      <c r="F11" s="22" t="s">
        <v>135</v>
      </c>
      <c r="G11" s="13" t="s">
        <v>19</v>
      </c>
      <c r="H11" s="14" t="s">
        <v>56</v>
      </c>
      <c r="I11" s="9" t="s">
        <v>18</v>
      </c>
      <c r="J11" s="35" t="s">
        <v>183</v>
      </c>
    </row>
    <row r="12" spans="1:10" hidden="1" x14ac:dyDescent="0.4">
      <c r="A12" s="4" t="s">
        <v>64</v>
      </c>
      <c r="B12" s="4" t="s">
        <v>208</v>
      </c>
      <c r="C12" s="12">
        <v>6</v>
      </c>
      <c r="D12" s="41">
        <v>60019819</v>
      </c>
      <c r="E12" s="4" t="s">
        <v>23</v>
      </c>
      <c r="F12" s="12"/>
      <c r="G12" s="19"/>
      <c r="H12" s="30">
        <v>3931.71</v>
      </c>
      <c r="I12" s="5">
        <f>IFERROR(G12*H12,0)</f>
        <v>0</v>
      </c>
      <c r="J12" s="2" t="s">
        <v>225</v>
      </c>
    </row>
    <row r="13" spans="1:10" hidden="1" x14ac:dyDescent="0.4">
      <c r="A13" s="4" t="s">
        <v>65</v>
      </c>
      <c r="B13" s="4" t="s">
        <v>212</v>
      </c>
      <c r="C13" s="12">
        <v>6</v>
      </c>
      <c r="D13" s="12">
        <v>60019810</v>
      </c>
      <c r="E13" s="4" t="s">
        <v>24</v>
      </c>
      <c r="F13" s="12"/>
      <c r="G13" s="19"/>
      <c r="H13" s="30">
        <v>3931.71</v>
      </c>
      <c r="I13" s="5">
        <f t="shared" ref="I13:I69" si="0">IFERROR(G13*H13,0)</f>
        <v>0</v>
      </c>
      <c r="J13" s="2" t="s">
        <v>225</v>
      </c>
    </row>
    <row r="14" spans="1:10" hidden="1" x14ac:dyDescent="0.4">
      <c r="A14" s="4" t="s">
        <v>64</v>
      </c>
      <c r="B14" s="45" t="s">
        <v>227</v>
      </c>
      <c r="C14" s="52">
        <v>6</v>
      </c>
      <c r="D14" s="54">
        <v>60023883</v>
      </c>
      <c r="E14" s="4" t="s">
        <v>23</v>
      </c>
      <c r="F14" s="52"/>
      <c r="G14" s="19"/>
      <c r="H14" s="30">
        <v>3931.71</v>
      </c>
      <c r="I14" s="5">
        <f>IFERROR(G14*H14,0)</f>
        <v>0</v>
      </c>
    </row>
    <row r="15" spans="1:10" hidden="1" x14ac:dyDescent="0.4">
      <c r="A15" s="4" t="s">
        <v>65</v>
      </c>
      <c r="B15" s="45" t="s">
        <v>228</v>
      </c>
      <c r="C15" s="52">
        <v>6</v>
      </c>
      <c r="D15" s="54">
        <v>60023881</v>
      </c>
      <c r="E15" s="4" t="s">
        <v>24</v>
      </c>
      <c r="F15" s="52"/>
      <c r="G15" s="19"/>
      <c r="H15" s="30">
        <v>3931.71</v>
      </c>
      <c r="I15" s="5">
        <f t="shared" ref="I15" si="1">IFERROR(G15*H15,0)</f>
        <v>0</v>
      </c>
    </row>
    <row r="16" spans="1:10" hidden="1" x14ac:dyDescent="0.4">
      <c r="A16" s="4" t="s">
        <v>66</v>
      </c>
      <c r="B16" s="4"/>
      <c r="C16" s="12">
        <v>6</v>
      </c>
      <c r="D16" s="12">
        <v>60020652</v>
      </c>
      <c r="E16" s="4" t="s">
        <v>25</v>
      </c>
      <c r="F16" s="12"/>
      <c r="G16" s="19"/>
      <c r="H16" s="30">
        <v>3931.71</v>
      </c>
      <c r="I16" s="5">
        <f t="shared" si="0"/>
        <v>0</v>
      </c>
    </row>
    <row r="17" spans="1:10" hidden="1" x14ac:dyDescent="0.4">
      <c r="A17" s="4" t="s">
        <v>67</v>
      </c>
      <c r="B17" s="53" t="s">
        <v>217</v>
      </c>
      <c r="C17" s="12">
        <v>6</v>
      </c>
      <c r="D17" s="48">
        <v>60020649</v>
      </c>
      <c r="E17" s="4" t="s">
        <v>26</v>
      </c>
      <c r="F17" s="12"/>
      <c r="G17" s="19"/>
      <c r="H17" s="30">
        <v>3931.71</v>
      </c>
      <c r="I17" s="5">
        <f t="shared" si="0"/>
        <v>0</v>
      </c>
    </row>
    <row r="18" spans="1:10" hidden="1" x14ac:dyDescent="0.4">
      <c r="A18" s="4" t="s">
        <v>68</v>
      </c>
      <c r="B18" s="45" t="s">
        <v>226</v>
      </c>
      <c r="C18" s="52">
        <v>6</v>
      </c>
      <c r="D18" s="52">
        <v>60023882</v>
      </c>
      <c r="E18" s="4" t="s">
        <v>27</v>
      </c>
      <c r="F18" s="52"/>
      <c r="G18" s="19"/>
      <c r="H18" s="30">
        <v>3931.71</v>
      </c>
      <c r="I18" s="5">
        <f t="shared" ref="I18" si="2">IFERROR(G18*H18,0)</f>
        <v>0</v>
      </c>
    </row>
    <row r="19" spans="1:10" hidden="1" x14ac:dyDescent="0.4">
      <c r="A19" s="4" t="s">
        <v>68</v>
      </c>
      <c r="B19" s="56" t="s">
        <v>229</v>
      </c>
      <c r="C19" s="55">
        <v>6</v>
      </c>
      <c r="D19" s="55">
        <v>60020657</v>
      </c>
      <c r="E19" s="4" t="s">
        <v>27</v>
      </c>
      <c r="F19" s="55"/>
      <c r="G19" s="19"/>
      <c r="H19" s="30">
        <v>3931.71</v>
      </c>
      <c r="I19" s="5">
        <f t="shared" ref="I19" si="3">IFERROR(G19*H19,0)</f>
        <v>0</v>
      </c>
      <c r="J19" s="2" t="s">
        <v>225</v>
      </c>
    </row>
    <row r="20" spans="1:10" x14ac:dyDescent="0.4">
      <c r="A20" s="4" t="s">
        <v>69</v>
      </c>
      <c r="B20" s="53" t="s">
        <v>219</v>
      </c>
      <c r="C20" s="12">
        <v>6</v>
      </c>
      <c r="D20" s="48">
        <v>60020646</v>
      </c>
      <c r="E20" s="4" t="s">
        <v>28</v>
      </c>
      <c r="F20" s="12"/>
      <c r="G20" s="19">
        <v>1</v>
      </c>
      <c r="H20" s="30">
        <v>3931.71</v>
      </c>
      <c r="I20" s="5">
        <f t="shared" si="0"/>
        <v>3931.71</v>
      </c>
    </row>
    <row r="21" spans="1:10" hidden="1" x14ac:dyDescent="0.4">
      <c r="A21" s="4" t="s">
        <v>70</v>
      </c>
      <c r="B21" s="4" t="s">
        <v>213</v>
      </c>
      <c r="C21" s="12">
        <v>30</v>
      </c>
      <c r="D21" s="46">
        <v>60019808</v>
      </c>
      <c r="E21" s="4" t="s">
        <v>29</v>
      </c>
      <c r="F21" s="12"/>
      <c r="G21" s="19"/>
      <c r="H21" s="30">
        <v>3753</v>
      </c>
      <c r="I21" s="5">
        <f t="shared" si="0"/>
        <v>0</v>
      </c>
    </row>
    <row r="22" spans="1:10" hidden="1" x14ac:dyDescent="0.4">
      <c r="A22" s="4" t="s">
        <v>71</v>
      </c>
      <c r="B22" s="4" t="s">
        <v>211</v>
      </c>
      <c r="C22" s="12">
        <v>30</v>
      </c>
      <c r="D22" s="12">
        <v>60019817</v>
      </c>
      <c r="E22" s="4" t="s">
        <v>30</v>
      </c>
      <c r="F22" s="12"/>
      <c r="G22" s="19"/>
      <c r="H22" s="30">
        <v>3753</v>
      </c>
      <c r="I22" s="5">
        <f t="shared" si="0"/>
        <v>0</v>
      </c>
    </row>
    <row r="23" spans="1:10" hidden="1" x14ac:dyDescent="0.4">
      <c r="A23" s="4" t="s">
        <v>72</v>
      </c>
      <c r="B23" s="4" t="s">
        <v>214</v>
      </c>
      <c r="C23" s="12">
        <v>30</v>
      </c>
      <c r="D23" s="46">
        <v>60020655</v>
      </c>
      <c r="E23" s="4" t="s">
        <v>31</v>
      </c>
      <c r="F23" s="12"/>
      <c r="G23" s="19"/>
      <c r="H23" s="30">
        <v>3753</v>
      </c>
      <c r="I23" s="5">
        <f t="shared" si="0"/>
        <v>0</v>
      </c>
    </row>
    <row r="24" spans="1:10" hidden="1" x14ac:dyDescent="0.4">
      <c r="A24" s="4" t="s">
        <v>170</v>
      </c>
      <c r="B24" s="3" t="s">
        <v>171</v>
      </c>
      <c r="C24" s="29">
        <v>30</v>
      </c>
      <c r="D24" s="29">
        <v>10280220</v>
      </c>
      <c r="E24" s="4" t="s">
        <v>172</v>
      </c>
      <c r="F24" s="29"/>
      <c r="G24" s="19"/>
      <c r="H24" s="5">
        <v>3355.86</v>
      </c>
      <c r="I24" s="5">
        <f t="shared" si="0"/>
        <v>0</v>
      </c>
    </row>
    <row r="25" spans="1:10" hidden="1" x14ac:dyDescent="0.4">
      <c r="A25" s="4" t="s">
        <v>173</v>
      </c>
      <c r="B25" s="3" t="s">
        <v>171</v>
      </c>
      <c r="C25" s="29">
        <v>30</v>
      </c>
      <c r="D25" s="29">
        <v>10280222</v>
      </c>
      <c r="E25" s="4" t="s">
        <v>174</v>
      </c>
      <c r="F25" s="29"/>
      <c r="G25" s="19"/>
      <c r="H25" s="5">
        <v>3355.86</v>
      </c>
      <c r="I25" s="5">
        <f t="shared" si="0"/>
        <v>0</v>
      </c>
    </row>
    <row r="26" spans="1:10" hidden="1" x14ac:dyDescent="0.4">
      <c r="A26" s="4" t="s">
        <v>73</v>
      </c>
      <c r="B26" s="3"/>
      <c r="C26" s="12">
        <v>8</v>
      </c>
      <c r="D26" s="12">
        <v>10239993</v>
      </c>
      <c r="E26" s="4" t="s">
        <v>32</v>
      </c>
      <c r="F26" s="12"/>
      <c r="G26" s="19"/>
      <c r="H26" s="5">
        <v>2594.67</v>
      </c>
      <c r="I26" s="5">
        <f t="shared" si="0"/>
        <v>0</v>
      </c>
    </row>
    <row r="27" spans="1:10" hidden="1" x14ac:dyDescent="0.4">
      <c r="A27" s="4" t="s">
        <v>74</v>
      </c>
      <c r="B27" s="3"/>
      <c r="C27" s="12">
        <v>8</v>
      </c>
      <c r="D27" s="12">
        <v>10239996</v>
      </c>
      <c r="E27" s="4" t="s">
        <v>33</v>
      </c>
      <c r="F27" s="12"/>
      <c r="G27" s="19"/>
      <c r="H27" s="5">
        <v>2594.67</v>
      </c>
      <c r="I27" s="5">
        <f t="shared" si="0"/>
        <v>0</v>
      </c>
    </row>
    <row r="28" spans="1:10" hidden="1" x14ac:dyDescent="0.4">
      <c r="A28" s="4" t="s">
        <v>75</v>
      </c>
      <c r="B28" s="3"/>
      <c r="C28" s="12">
        <v>20</v>
      </c>
      <c r="D28" s="12">
        <v>10240003</v>
      </c>
      <c r="E28" s="34" t="s">
        <v>34</v>
      </c>
      <c r="F28" s="12"/>
      <c r="G28" s="19"/>
      <c r="H28" s="5">
        <v>728.1</v>
      </c>
      <c r="I28" s="5">
        <f t="shared" si="0"/>
        <v>0</v>
      </c>
      <c r="J28" s="36" t="s">
        <v>184</v>
      </c>
    </row>
    <row r="29" spans="1:10" hidden="1" x14ac:dyDescent="0.4">
      <c r="A29" s="4" t="s">
        <v>76</v>
      </c>
      <c r="B29" s="3"/>
      <c r="C29" s="12">
        <v>20</v>
      </c>
      <c r="D29" s="12">
        <v>10240013</v>
      </c>
      <c r="E29" s="34" t="s">
        <v>35</v>
      </c>
      <c r="F29" s="12"/>
      <c r="G29" s="19"/>
      <c r="H29" s="5">
        <v>728.1</v>
      </c>
      <c r="I29" s="5">
        <f t="shared" si="0"/>
        <v>0</v>
      </c>
      <c r="J29" s="36" t="s">
        <v>184</v>
      </c>
    </row>
    <row r="30" spans="1:10" hidden="1" x14ac:dyDescent="0.4">
      <c r="A30" s="4" t="s">
        <v>77</v>
      </c>
      <c r="B30" s="3"/>
      <c r="C30" s="12">
        <v>6</v>
      </c>
      <c r="D30" s="12">
        <v>10254132</v>
      </c>
      <c r="E30" s="4" t="s">
        <v>36</v>
      </c>
      <c r="F30" s="12"/>
      <c r="G30" s="19"/>
      <c r="H30" s="5">
        <v>3534.57</v>
      </c>
      <c r="I30" s="5">
        <f t="shared" si="0"/>
        <v>0</v>
      </c>
    </row>
    <row r="31" spans="1:10" hidden="1" x14ac:dyDescent="0.4">
      <c r="A31" s="4" t="s">
        <v>78</v>
      </c>
      <c r="B31" s="3"/>
      <c r="C31" s="12">
        <v>6</v>
      </c>
      <c r="D31" s="12">
        <v>10254124</v>
      </c>
      <c r="E31" s="4" t="s">
        <v>37</v>
      </c>
      <c r="F31" s="12"/>
      <c r="G31" s="19"/>
      <c r="H31" s="5">
        <v>3534.57</v>
      </c>
      <c r="I31" s="5">
        <f t="shared" si="0"/>
        <v>0</v>
      </c>
    </row>
    <row r="32" spans="1:10" hidden="1" x14ac:dyDescent="0.4">
      <c r="A32" s="4" t="s">
        <v>79</v>
      </c>
      <c r="B32" s="3"/>
      <c r="C32" s="12">
        <v>6</v>
      </c>
      <c r="D32" s="12">
        <v>10254158</v>
      </c>
      <c r="E32" s="4" t="s">
        <v>38</v>
      </c>
      <c r="F32" s="12"/>
      <c r="G32" s="19"/>
      <c r="H32" s="5">
        <v>3534.57</v>
      </c>
      <c r="I32" s="5">
        <f t="shared" si="0"/>
        <v>0</v>
      </c>
    </row>
    <row r="33" spans="1:9" hidden="1" x14ac:dyDescent="0.4">
      <c r="A33" s="4" t="s">
        <v>80</v>
      </c>
      <c r="B33" s="45" t="s">
        <v>223</v>
      </c>
      <c r="C33" s="44">
        <v>12</v>
      </c>
      <c r="D33" s="44">
        <v>10266388</v>
      </c>
      <c r="E33" s="4" t="s">
        <v>39</v>
      </c>
      <c r="F33" s="12"/>
      <c r="G33" s="19"/>
      <c r="H33" s="5">
        <v>4765.71</v>
      </c>
      <c r="I33" s="5">
        <f t="shared" si="0"/>
        <v>0</v>
      </c>
    </row>
    <row r="34" spans="1:9" hidden="1" x14ac:dyDescent="0.4">
      <c r="A34" s="4" t="s">
        <v>81</v>
      </c>
      <c r="B34" s="45" t="s">
        <v>220</v>
      </c>
      <c r="C34" s="44">
        <v>12</v>
      </c>
      <c r="D34" s="50">
        <v>10266394</v>
      </c>
      <c r="E34" s="4" t="s">
        <v>40</v>
      </c>
      <c r="F34" s="12"/>
      <c r="G34" s="19"/>
      <c r="H34" s="5">
        <v>4765.71</v>
      </c>
      <c r="I34" s="5">
        <f t="shared" si="0"/>
        <v>0</v>
      </c>
    </row>
    <row r="35" spans="1:9" hidden="1" x14ac:dyDescent="0.4">
      <c r="A35" s="4" t="s">
        <v>82</v>
      </c>
      <c r="B35" s="3"/>
      <c r="C35" s="12">
        <v>12</v>
      </c>
      <c r="D35" s="12">
        <v>10266361</v>
      </c>
      <c r="E35" s="4" t="s">
        <v>41</v>
      </c>
      <c r="F35" s="12"/>
      <c r="G35" s="19"/>
      <c r="H35" s="5">
        <v>4765.71</v>
      </c>
      <c r="I35" s="5">
        <f t="shared" si="0"/>
        <v>0</v>
      </c>
    </row>
    <row r="36" spans="1:9" hidden="1" x14ac:dyDescent="0.4">
      <c r="A36" s="4" t="s">
        <v>83</v>
      </c>
      <c r="B36" s="45" t="s">
        <v>221</v>
      </c>
      <c r="C36" s="44">
        <v>12</v>
      </c>
      <c r="D36" s="50">
        <v>10266385</v>
      </c>
      <c r="E36" s="4" t="s">
        <v>42</v>
      </c>
      <c r="F36" s="12"/>
      <c r="G36" s="19"/>
      <c r="H36" s="5">
        <v>4765.71</v>
      </c>
      <c r="I36" s="5">
        <f t="shared" si="0"/>
        <v>0</v>
      </c>
    </row>
    <row r="37" spans="1:9" hidden="1" x14ac:dyDescent="0.4">
      <c r="A37" s="4" t="s">
        <v>84</v>
      </c>
      <c r="B37" s="3"/>
      <c r="C37" s="12">
        <v>12</v>
      </c>
      <c r="D37" s="12">
        <v>10266356</v>
      </c>
      <c r="E37" s="4" t="s">
        <v>43</v>
      </c>
      <c r="F37" s="12"/>
      <c r="G37" s="19"/>
      <c r="H37" s="5">
        <v>4765.71</v>
      </c>
      <c r="I37" s="5">
        <f t="shared" si="0"/>
        <v>0</v>
      </c>
    </row>
    <row r="38" spans="1:9" hidden="1" x14ac:dyDescent="0.4">
      <c r="A38" s="4" t="s">
        <v>85</v>
      </c>
      <c r="B38" s="3"/>
      <c r="C38" s="12">
        <v>12</v>
      </c>
      <c r="D38" s="12">
        <v>10266398</v>
      </c>
      <c r="E38" s="4" t="s">
        <v>44</v>
      </c>
      <c r="F38" s="12"/>
      <c r="G38" s="19"/>
      <c r="H38" s="5">
        <v>4765.71</v>
      </c>
      <c r="I38" s="5">
        <f t="shared" si="0"/>
        <v>0</v>
      </c>
    </row>
    <row r="39" spans="1:9" hidden="1" x14ac:dyDescent="0.4">
      <c r="A39" s="4" t="s">
        <v>86</v>
      </c>
      <c r="B39" s="45" t="s">
        <v>222</v>
      </c>
      <c r="C39" s="44">
        <v>12</v>
      </c>
      <c r="D39" s="50">
        <v>10267024</v>
      </c>
      <c r="E39" s="4" t="s">
        <v>55</v>
      </c>
      <c r="F39" s="12"/>
      <c r="G39" s="19"/>
      <c r="H39" s="5">
        <v>4765.71</v>
      </c>
      <c r="I39" s="5">
        <f t="shared" si="0"/>
        <v>0</v>
      </c>
    </row>
    <row r="40" spans="1:9" hidden="1" x14ac:dyDescent="0.4">
      <c r="A40" s="4" t="s">
        <v>87</v>
      </c>
      <c r="B40" s="3"/>
      <c r="C40" s="12">
        <v>24</v>
      </c>
      <c r="D40" s="12">
        <v>10266591</v>
      </c>
      <c r="E40" s="4" t="s">
        <v>45</v>
      </c>
      <c r="F40" s="12"/>
      <c r="G40" s="19"/>
      <c r="H40" s="5">
        <v>2382.86</v>
      </c>
      <c r="I40" s="5">
        <f t="shared" si="0"/>
        <v>0</v>
      </c>
    </row>
    <row r="41" spans="1:9" hidden="1" x14ac:dyDescent="0.4">
      <c r="A41" s="4" t="s">
        <v>88</v>
      </c>
      <c r="B41" s="3"/>
      <c r="C41" s="12">
        <v>24</v>
      </c>
      <c r="D41" s="12">
        <v>10266603</v>
      </c>
      <c r="E41" s="4" t="s">
        <v>46</v>
      </c>
      <c r="F41" s="12"/>
      <c r="G41" s="19"/>
      <c r="H41" s="5">
        <v>2382.86</v>
      </c>
      <c r="I41" s="5">
        <f t="shared" si="0"/>
        <v>0</v>
      </c>
    </row>
    <row r="42" spans="1:9" hidden="1" x14ac:dyDescent="0.4">
      <c r="A42" s="4" t="s">
        <v>89</v>
      </c>
      <c r="B42" s="3"/>
      <c r="C42" s="12">
        <v>24</v>
      </c>
      <c r="D42" s="12">
        <v>10266605</v>
      </c>
      <c r="E42" s="4" t="s">
        <v>47</v>
      </c>
      <c r="F42" s="12"/>
      <c r="G42" s="19"/>
      <c r="H42" s="5">
        <v>2382.86</v>
      </c>
      <c r="I42" s="5">
        <f t="shared" si="0"/>
        <v>0</v>
      </c>
    </row>
    <row r="43" spans="1:9" hidden="1" x14ac:dyDescent="0.4">
      <c r="A43" s="4" t="s">
        <v>90</v>
      </c>
      <c r="B43" s="3"/>
      <c r="C43" s="12">
        <v>24</v>
      </c>
      <c r="D43" s="12">
        <v>10266607</v>
      </c>
      <c r="E43" s="4" t="s">
        <v>48</v>
      </c>
      <c r="F43" s="12"/>
      <c r="G43" s="19"/>
      <c r="H43" s="5">
        <v>2382.86</v>
      </c>
      <c r="I43" s="5">
        <f t="shared" si="0"/>
        <v>0</v>
      </c>
    </row>
    <row r="44" spans="1:9" hidden="1" x14ac:dyDescent="0.4">
      <c r="A44" s="4" t="s">
        <v>91</v>
      </c>
      <c r="B44" s="3"/>
      <c r="C44" s="12">
        <v>24</v>
      </c>
      <c r="D44" s="12">
        <v>10266609</v>
      </c>
      <c r="E44" s="4" t="s">
        <v>49</v>
      </c>
      <c r="F44" s="12"/>
      <c r="G44" s="19"/>
      <c r="H44" s="5">
        <v>2382.86</v>
      </c>
      <c r="I44" s="5">
        <f t="shared" si="0"/>
        <v>0</v>
      </c>
    </row>
    <row r="45" spans="1:9" hidden="1" x14ac:dyDescent="0.4">
      <c r="A45" s="4" t="s">
        <v>92</v>
      </c>
      <c r="B45" s="3"/>
      <c r="C45" s="12">
        <v>24</v>
      </c>
      <c r="D45" s="12">
        <v>10266611</v>
      </c>
      <c r="E45" s="4" t="s">
        <v>50</v>
      </c>
      <c r="F45" s="12"/>
      <c r="G45" s="19"/>
      <c r="H45" s="5">
        <v>2382.86</v>
      </c>
      <c r="I45" s="5">
        <f t="shared" si="0"/>
        <v>0</v>
      </c>
    </row>
    <row r="46" spans="1:9" hidden="1" x14ac:dyDescent="0.4">
      <c r="A46" s="4" t="s">
        <v>93</v>
      </c>
      <c r="B46" s="3"/>
      <c r="C46" s="12">
        <v>10</v>
      </c>
      <c r="D46" s="12">
        <v>10236063</v>
      </c>
      <c r="E46" s="4" t="s">
        <v>51</v>
      </c>
      <c r="F46" s="12"/>
      <c r="G46" s="19"/>
      <c r="H46" s="30">
        <v>1979.0952380952381</v>
      </c>
      <c r="I46" s="5">
        <f t="shared" si="0"/>
        <v>0</v>
      </c>
    </row>
    <row r="47" spans="1:9" hidden="1" x14ac:dyDescent="0.4">
      <c r="A47" s="4" t="s">
        <v>94</v>
      </c>
      <c r="B47" s="3" t="s">
        <v>60</v>
      </c>
      <c r="C47" s="12">
        <v>12</v>
      </c>
      <c r="D47" s="12">
        <v>10267031</v>
      </c>
      <c r="E47" s="4" t="s">
        <v>53</v>
      </c>
      <c r="F47" s="12"/>
      <c r="G47" s="19"/>
      <c r="H47" s="5">
        <v>5401.14</v>
      </c>
      <c r="I47" s="5">
        <f t="shared" si="0"/>
        <v>0</v>
      </c>
    </row>
    <row r="48" spans="1:9" x14ac:dyDescent="0.4">
      <c r="A48" s="4" t="s">
        <v>95</v>
      </c>
      <c r="B48" s="3" t="s">
        <v>60</v>
      </c>
      <c r="C48" s="12">
        <v>12</v>
      </c>
      <c r="D48" s="12">
        <v>10267034</v>
      </c>
      <c r="E48" s="4" t="s">
        <v>54</v>
      </c>
      <c r="F48" s="12"/>
      <c r="G48" s="19">
        <v>2</v>
      </c>
      <c r="H48" s="5">
        <v>5401.14</v>
      </c>
      <c r="I48" s="5">
        <f t="shared" si="0"/>
        <v>10802.28</v>
      </c>
    </row>
    <row r="49" spans="1:10" hidden="1" x14ac:dyDescent="0.4">
      <c r="A49" s="4" t="s">
        <v>96</v>
      </c>
      <c r="B49" s="40" t="s">
        <v>207</v>
      </c>
      <c r="C49" s="12">
        <v>6</v>
      </c>
      <c r="D49" s="40">
        <v>60019100</v>
      </c>
      <c r="E49" s="4" t="s">
        <v>52</v>
      </c>
      <c r="F49" s="12"/>
      <c r="G49" s="19"/>
      <c r="H49" s="30">
        <v>3931.71</v>
      </c>
      <c r="I49" s="5">
        <f t="shared" si="0"/>
        <v>0</v>
      </c>
    </row>
    <row r="50" spans="1:10" hidden="1" x14ac:dyDescent="0.4">
      <c r="A50" s="4" t="s">
        <v>97</v>
      </c>
      <c r="B50" s="3" t="s">
        <v>61</v>
      </c>
      <c r="C50" s="12">
        <v>20</v>
      </c>
      <c r="D50" s="12">
        <v>10236068</v>
      </c>
      <c r="E50" s="34" t="s">
        <v>58</v>
      </c>
      <c r="F50" s="12"/>
      <c r="G50" s="19"/>
      <c r="H50" s="5">
        <v>794.29</v>
      </c>
      <c r="I50" s="5">
        <f t="shared" si="0"/>
        <v>0</v>
      </c>
      <c r="J50" s="36" t="s">
        <v>184</v>
      </c>
    </row>
    <row r="51" spans="1:10" hidden="1" x14ac:dyDescent="0.4">
      <c r="A51" s="4" t="s">
        <v>98</v>
      </c>
      <c r="B51" s="3" t="s">
        <v>62</v>
      </c>
      <c r="C51" s="12">
        <v>20</v>
      </c>
      <c r="D51" s="12">
        <v>10236060</v>
      </c>
      <c r="E51" s="34" t="s">
        <v>59</v>
      </c>
      <c r="F51" s="12"/>
      <c r="G51" s="19"/>
      <c r="H51" s="5">
        <v>794.29</v>
      </c>
      <c r="I51" s="5">
        <f t="shared" si="0"/>
        <v>0</v>
      </c>
      <c r="J51" s="36" t="s">
        <v>184</v>
      </c>
    </row>
    <row r="52" spans="1:10" hidden="1" x14ac:dyDescent="0.4">
      <c r="A52" s="4" t="s">
        <v>99</v>
      </c>
      <c r="B52" s="3"/>
      <c r="C52" s="12">
        <v>12</v>
      </c>
      <c r="D52" s="12">
        <v>10236022</v>
      </c>
      <c r="E52" s="4" t="s">
        <v>103</v>
      </c>
      <c r="F52" s="12"/>
      <c r="G52" s="19"/>
      <c r="H52" s="5">
        <v>3494.86</v>
      </c>
      <c r="I52" s="5">
        <f t="shared" si="0"/>
        <v>0</v>
      </c>
    </row>
    <row r="53" spans="1:10" hidden="1" x14ac:dyDescent="0.4">
      <c r="A53" s="4" t="s">
        <v>100</v>
      </c>
      <c r="B53" s="3"/>
      <c r="C53" s="12">
        <v>12</v>
      </c>
      <c r="D53" s="12">
        <v>10246885</v>
      </c>
      <c r="E53" s="4" t="s">
        <v>104</v>
      </c>
      <c r="F53" s="12"/>
      <c r="G53" s="19"/>
      <c r="H53" s="5">
        <v>3494.86</v>
      </c>
      <c r="I53" s="5">
        <f t="shared" si="0"/>
        <v>0</v>
      </c>
    </row>
    <row r="54" spans="1:10" hidden="1" x14ac:dyDescent="0.4">
      <c r="A54" s="4" t="s">
        <v>101</v>
      </c>
      <c r="B54" s="3" t="s">
        <v>102</v>
      </c>
      <c r="C54" s="12">
        <v>24</v>
      </c>
      <c r="D54" s="12">
        <v>10274122</v>
      </c>
      <c r="E54" s="4" t="s">
        <v>111</v>
      </c>
      <c r="F54" s="12"/>
      <c r="G54" s="19"/>
      <c r="H54" s="5">
        <v>1953.94</v>
      </c>
      <c r="I54" s="5">
        <f t="shared" si="0"/>
        <v>0</v>
      </c>
    </row>
    <row r="55" spans="1:10" s="61" customFormat="1" hidden="1" x14ac:dyDescent="0.4">
      <c r="A55" s="57" t="s">
        <v>166</v>
      </c>
      <c r="B55" s="58" t="s">
        <v>230</v>
      </c>
      <c r="C55" s="59">
        <v>12</v>
      </c>
      <c r="D55" s="59">
        <v>10224068</v>
      </c>
      <c r="E55" s="57" t="s">
        <v>167</v>
      </c>
      <c r="F55" s="59"/>
      <c r="G55" s="19"/>
      <c r="H55" s="60">
        <v>1104.05</v>
      </c>
      <c r="I55" s="60">
        <f t="shared" si="0"/>
        <v>0</v>
      </c>
    </row>
    <row r="56" spans="1:10" hidden="1" x14ac:dyDescent="0.4">
      <c r="A56" s="4" t="s">
        <v>168</v>
      </c>
      <c r="B56" s="3"/>
      <c r="C56" s="28">
        <v>12</v>
      </c>
      <c r="D56" s="28">
        <v>10254347</v>
      </c>
      <c r="E56" s="4" t="s">
        <v>169</v>
      </c>
      <c r="F56" s="28"/>
      <c r="G56" s="19"/>
      <c r="H56" s="5">
        <v>4336.8</v>
      </c>
      <c r="I56" s="5">
        <f t="shared" si="0"/>
        <v>0</v>
      </c>
    </row>
    <row r="57" spans="1:10" hidden="1" x14ac:dyDescent="0.4">
      <c r="A57" s="4" t="s">
        <v>175</v>
      </c>
      <c r="B57" s="3" t="s">
        <v>176</v>
      </c>
      <c r="C57" s="31">
        <v>16</v>
      </c>
      <c r="D57" s="31">
        <v>60010801</v>
      </c>
      <c r="E57" s="4" t="s">
        <v>177</v>
      </c>
      <c r="F57" s="31"/>
      <c r="G57" s="19"/>
      <c r="H57" s="5">
        <v>5337.6</v>
      </c>
      <c r="I57" s="5">
        <f t="shared" si="0"/>
        <v>0</v>
      </c>
    </row>
    <row r="58" spans="1:10" hidden="1" x14ac:dyDescent="0.4">
      <c r="A58" s="4" t="s">
        <v>105</v>
      </c>
      <c r="B58" s="3" t="s">
        <v>107</v>
      </c>
      <c r="C58" s="12">
        <v>4</v>
      </c>
      <c r="D58" s="12">
        <v>10283138</v>
      </c>
      <c r="E58" s="4" t="s">
        <v>109</v>
      </c>
      <c r="F58" s="12"/>
      <c r="G58" s="19"/>
      <c r="H58" s="5">
        <v>4003.2</v>
      </c>
      <c r="I58" s="5">
        <f t="shared" si="0"/>
        <v>0</v>
      </c>
    </row>
    <row r="59" spans="1:10" hidden="1" x14ac:dyDescent="0.4">
      <c r="A59" s="4" t="s">
        <v>106</v>
      </c>
      <c r="B59" s="3" t="s">
        <v>108</v>
      </c>
      <c r="C59" s="12">
        <v>4</v>
      </c>
      <c r="D59" s="12">
        <v>10283141</v>
      </c>
      <c r="E59" s="4" t="s">
        <v>110</v>
      </c>
      <c r="F59" s="12"/>
      <c r="G59" s="19"/>
      <c r="H59" s="5">
        <v>4003.2</v>
      </c>
      <c r="I59" s="5">
        <f t="shared" si="0"/>
        <v>0</v>
      </c>
    </row>
    <row r="60" spans="1:10" hidden="1" x14ac:dyDescent="0.4">
      <c r="A60" s="4" t="s">
        <v>112</v>
      </c>
      <c r="B60" s="3"/>
      <c r="C60" s="20">
        <v>20</v>
      </c>
      <c r="D60" s="20">
        <v>10285808</v>
      </c>
      <c r="E60" s="4" t="s">
        <v>124</v>
      </c>
      <c r="F60" s="20"/>
      <c r="G60" s="19"/>
      <c r="H60" s="5">
        <v>9134</v>
      </c>
      <c r="I60" s="5">
        <f t="shared" si="0"/>
        <v>0</v>
      </c>
    </row>
    <row r="61" spans="1:10" hidden="1" x14ac:dyDescent="0.4">
      <c r="A61" s="4" t="s">
        <v>113</v>
      </c>
      <c r="B61" s="3" t="s">
        <v>121</v>
      </c>
      <c r="C61" s="20">
        <v>20</v>
      </c>
      <c r="D61" s="20">
        <v>10286469</v>
      </c>
      <c r="E61" s="4" t="s">
        <v>125</v>
      </c>
      <c r="F61" s="20"/>
      <c r="G61" s="19"/>
      <c r="H61" s="5">
        <v>9134</v>
      </c>
      <c r="I61" s="5">
        <f t="shared" si="0"/>
        <v>0</v>
      </c>
    </row>
    <row r="62" spans="1:10" hidden="1" x14ac:dyDescent="0.4">
      <c r="A62" s="4" t="s">
        <v>114</v>
      </c>
      <c r="B62" s="3" t="s">
        <v>121</v>
      </c>
      <c r="C62" s="20">
        <v>20</v>
      </c>
      <c r="D62" s="20">
        <v>10286472</v>
      </c>
      <c r="E62" s="4" t="s">
        <v>126</v>
      </c>
      <c r="F62" s="20"/>
      <c r="G62" s="19"/>
      <c r="H62" s="5">
        <v>9134</v>
      </c>
      <c r="I62" s="5">
        <f t="shared" si="0"/>
        <v>0</v>
      </c>
    </row>
    <row r="63" spans="1:10" hidden="1" x14ac:dyDescent="0.4">
      <c r="A63" s="4" t="s">
        <v>115</v>
      </c>
      <c r="B63" s="40" t="s">
        <v>202</v>
      </c>
      <c r="C63" s="20">
        <v>6</v>
      </c>
      <c r="D63" s="40">
        <v>60019110</v>
      </c>
      <c r="E63" s="4" t="s">
        <v>127</v>
      </c>
      <c r="F63" s="20"/>
      <c r="G63" s="19"/>
      <c r="H63" s="30">
        <v>3931.71</v>
      </c>
      <c r="I63" s="5">
        <f t="shared" si="0"/>
        <v>0</v>
      </c>
      <c r="J63" s="51"/>
    </row>
    <row r="64" spans="1:10" hidden="1" x14ac:dyDescent="0.4">
      <c r="A64" s="4" t="s">
        <v>116</v>
      </c>
      <c r="B64" s="40" t="s">
        <v>203</v>
      </c>
      <c r="C64" s="20">
        <v>6</v>
      </c>
      <c r="D64" s="40">
        <v>60019107</v>
      </c>
      <c r="E64" s="4" t="s">
        <v>128</v>
      </c>
      <c r="F64" s="20"/>
      <c r="G64" s="19"/>
      <c r="H64" s="30">
        <v>3931.71</v>
      </c>
      <c r="I64" s="5">
        <f t="shared" si="0"/>
        <v>0</v>
      </c>
      <c r="J64" s="51"/>
    </row>
    <row r="65" spans="1:10" hidden="1" x14ac:dyDescent="0.4">
      <c r="A65" s="4" t="s">
        <v>117</v>
      </c>
      <c r="B65" s="40" t="s">
        <v>204</v>
      </c>
      <c r="C65" s="20">
        <v>6</v>
      </c>
      <c r="D65" s="40">
        <v>60019104</v>
      </c>
      <c r="E65" s="4" t="s">
        <v>129</v>
      </c>
      <c r="F65" s="20"/>
      <c r="G65" s="19"/>
      <c r="H65" s="30">
        <v>3931.71</v>
      </c>
      <c r="I65" s="5">
        <f t="shared" si="0"/>
        <v>0</v>
      </c>
      <c r="J65" s="51"/>
    </row>
    <row r="66" spans="1:10" hidden="1" x14ac:dyDescent="0.4">
      <c r="A66" s="4" t="s">
        <v>118</v>
      </c>
      <c r="B66" s="40" t="s">
        <v>205</v>
      </c>
      <c r="C66" s="20">
        <v>6</v>
      </c>
      <c r="D66" s="40">
        <v>60019113</v>
      </c>
      <c r="E66" s="4" t="s">
        <v>130</v>
      </c>
      <c r="F66" s="20"/>
      <c r="G66" s="19"/>
      <c r="H66" s="30">
        <v>3931.71</v>
      </c>
      <c r="I66" s="5">
        <f t="shared" si="0"/>
        <v>0</v>
      </c>
      <c r="J66" s="51"/>
    </row>
    <row r="67" spans="1:10" hidden="1" x14ac:dyDescent="0.4">
      <c r="A67" s="4" t="s">
        <v>134</v>
      </c>
      <c r="B67" s="40" t="s">
        <v>206</v>
      </c>
      <c r="C67" s="20">
        <v>6</v>
      </c>
      <c r="D67" s="40">
        <v>60019116</v>
      </c>
      <c r="E67" s="4" t="s">
        <v>131</v>
      </c>
      <c r="F67" s="20"/>
      <c r="G67" s="19"/>
      <c r="H67" s="30">
        <v>3931.71</v>
      </c>
      <c r="I67" s="5">
        <f t="shared" si="0"/>
        <v>0</v>
      </c>
      <c r="J67" s="51"/>
    </row>
    <row r="68" spans="1:10" hidden="1" x14ac:dyDescent="0.4">
      <c r="A68" s="4" t="s">
        <v>119</v>
      </c>
      <c r="B68" s="3" t="s">
        <v>122</v>
      </c>
      <c r="C68" s="20">
        <v>30</v>
      </c>
      <c r="D68" s="20">
        <v>10280226</v>
      </c>
      <c r="E68" s="4" t="s">
        <v>132</v>
      </c>
      <c r="F68" s="20"/>
      <c r="G68" s="19"/>
      <c r="H68" s="30">
        <v>3753</v>
      </c>
      <c r="I68" s="5">
        <f t="shared" si="0"/>
        <v>0</v>
      </c>
      <c r="J68" s="51"/>
    </row>
    <row r="69" spans="1:10" hidden="1" x14ac:dyDescent="0.4">
      <c r="A69" s="4" t="s">
        <v>120</v>
      </c>
      <c r="B69" s="3" t="s">
        <v>123</v>
      </c>
      <c r="C69" s="20">
        <v>30</v>
      </c>
      <c r="D69" s="20">
        <v>10280224</v>
      </c>
      <c r="E69" s="4" t="s">
        <v>133</v>
      </c>
      <c r="F69" s="20"/>
      <c r="G69" s="19"/>
      <c r="H69" s="30">
        <v>3753</v>
      </c>
      <c r="I69" s="5">
        <f t="shared" si="0"/>
        <v>0</v>
      </c>
    </row>
    <row r="70" spans="1:10" hidden="1" x14ac:dyDescent="0.4">
      <c r="A70" s="4" t="s">
        <v>136</v>
      </c>
      <c r="B70" s="42" t="s">
        <v>209</v>
      </c>
      <c r="C70" s="23">
        <v>6</v>
      </c>
      <c r="D70" s="42">
        <v>60019828</v>
      </c>
      <c r="E70" s="4" t="s">
        <v>137</v>
      </c>
      <c r="F70" s="23"/>
      <c r="G70" s="19"/>
      <c r="H70" s="30">
        <v>3931.71</v>
      </c>
      <c r="I70" s="5">
        <f>IFERROR(G70*H70,0)</f>
        <v>0</v>
      </c>
    </row>
    <row r="71" spans="1:10" hidden="1" x14ac:dyDescent="0.4">
      <c r="A71" s="4" t="s">
        <v>138</v>
      </c>
      <c r="B71" s="49" t="s">
        <v>218</v>
      </c>
      <c r="C71" s="24">
        <v>18</v>
      </c>
      <c r="D71" s="26">
        <v>60020634</v>
      </c>
      <c r="E71" s="4" t="s">
        <v>139</v>
      </c>
      <c r="F71" s="24"/>
      <c r="G71" s="19"/>
      <c r="H71" s="30">
        <v>5838</v>
      </c>
      <c r="I71" s="5">
        <f t="shared" ref="I71:I92" si="4">IFERROR(G71*H71,0)</f>
        <v>0</v>
      </c>
    </row>
    <row r="72" spans="1:10" hidden="1" x14ac:dyDescent="0.4">
      <c r="A72" s="4" t="s">
        <v>140</v>
      </c>
      <c r="B72" s="3"/>
      <c r="C72" s="24">
        <v>18</v>
      </c>
      <c r="D72" s="26">
        <v>60020625</v>
      </c>
      <c r="E72" s="4" t="s">
        <v>141</v>
      </c>
      <c r="F72" s="24"/>
      <c r="G72" s="19"/>
      <c r="H72" s="30">
        <v>5838</v>
      </c>
      <c r="I72" s="5">
        <f t="shared" si="4"/>
        <v>0</v>
      </c>
    </row>
    <row r="73" spans="1:10" hidden="1" x14ac:dyDescent="0.4">
      <c r="A73" s="4" t="s">
        <v>142</v>
      </c>
      <c r="B73" s="3"/>
      <c r="C73" s="24">
        <v>18</v>
      </c>
      <c r="D73" s="26">
        <v>60020631</v>
      </c>
      <c r="E73" s="4" t="s">
        <v>143</v>
      </c>
      <c r="F73" s="24"/>
      <c r="G73" s="19"/>
      <c r="H73" s="30">
        <v>5838</v>
      </c>
      <c r="I73" s="5">
        <f t="shared" si="4"/>
        <v>0</v>
      </c>
    </row>
    <row r="74" spans="1:10" hidden="1" x14ac:dyDescent="0.4">
      <c r="A74" s="4" t="s">
        <v>144</v>
      </c>
      <c r="B74" s="3"/>
      <c r="C74" s="24">
        <v>18</v>
      </c>
      <c r="D74" s="26">
        <v>60020628</v>
      </c>
      <c r="E74" s="4" t="s">
        <v>145</v>
      </c>
      <c r="F74" s="24"/>
      <c r="G74" s="19"/>
      <c r="H74" s="30">
        <v>5838</v>
      </c>
      <c r="I74" s="5">
        <f t="shared" si="4"/>
        <v>0</v>
      </c>
    </row>
    <row r="75" spans="1:10" hidden="1" x14ac:dyDescent="0.4">
      <c r="A75" s="4" t="s">
        <v>146</v>
      </c>
      <c r="B75" s="3"/>
      <c r="C75" s="24">
        <v>12</v>
      </c>
      <c r="D75" s="26">
        <v>10266643</v>
      </c>
      <c r="E75" s="4" t="s">
        <v>147</v>
      </c>
      <c r="F75" s="24"/>
      <c r="G75" s="19"/>
      <c r="H75" s="30">
        <v>1104.06</v>
      </c>
      <c r="I75" s="5">
        <f t="shared" si="4"/>
        <v>0</v>
      </c>
    </row>
    <row r="76" spans="1:10" hidden="1" x14ac:dyDescent="0.4">
      <c r="A76" s="4" t="s">
        <v>148</v>
      </c>
      <c r="B76" s="3"/>
      <c r="C76" s="24">
        <v>15</v>
      </c>
      <c r="D76" s="26">
        <v>10281737</v>
      </c>
      <c r="E76" s="4" t="s">
        <v>149</v>
      </c>
      <c r="F76" s="24"/>
      <c r="G76" s="19"/>
      <c r="H76" s="5">
        <v>4170</v>
      </c>
      <c r="I76" s="5">
        <f t="shared" si="4"/>
        <v>0</v>
      </c>
    </row>
    <row r="77" spans="1:10" hidden="1" x14ac:dyDescent="0.4">
      <c r="A77" s="4" t="s">
        <v>150</v>
      </c>
      <c r="B77" s="3"/>
      <c r="C77" s="24">
        <v>15</v>
      </c>
      <c r="D77" s="26">
        <v>10281733</v>
      </c>
      <c r="E77" s="4" t="s">
        <v>151</v>
      </c>
      <c r="F77" s="24"/>
      <c r="G77" s="19"/>
      <c r="H77" s="30">
        <v>4170</v>
      </c>
      <c r="I77" s="5">
        <f t="shared" si="4"/>
        <v>0</v>
      </c>
    </row>
    <row r="78" spans="1:10" hidden="1" x14ac:dyDescent="0.4">
      <c r="A78" s="4" t="s">
        <v>152</v>
      </c>
      <c r="B78" s="3"/>
      <c r="C78" s="24">
        <v>36</v>
      </c>
      <c r="D78" s="26">
        <v>10266407</v>
      </c>
      <c r="E78" s="4" t="s">
        <v>153</v>
      </c>
      <c r="F78" s="24"/>
      <c r="G78" s="19"/>
      <c r="H78" s="30">
        <v>8578.2857142857138</v>
      </c>
      <c r="I78" s="5">
        <f t="shared" si="4"/>
        <v>0</v>
      </c>
    </row>
    <row r="79" spans="1:10" hidden="1" x14ac:dyDescent="0.4">
      <c r="A79" s="4" t="s">
        <v>154</v>
      </c>
      <c r="B79" s="3"/>
      <c r="C79" s="24">
        <v>16</v>
      </c>
      <c r="D79" s="24">
        <v>10273381</v>
      </c>
      <c r="E79" s="4" t="s">
        <v>155</v>
      </c>
      <c r="F79" s="24"/>
      <c r="G79" s="19"/>
      <c r="H79" s="30">
        <v>5337.5999999999995</v>
      </c>
      <c r="I79" s="5">
        <f t="shared" si="4"/>
        <v>0</v>
      </c>
    </row>
    <row r="80" spans="1:10" hidden="1" x14ac:dyDescent="0.4">
      <c r="A80" s="4" t="s">
        <v>160</v>
      </c>
      <c r="B80" s="3"/>
      <c r="C80" s="25">
        <v>18</v>
      </c>
      <c r="D80" s="26">
        <v>10280205</v>
      </c>
      <c r="E80" s="4" t="s">
        <v>156</v>
      </c>
      <c r="F80" s="25"/>
      <c r="G80" s="19"/>
      <c r="H80" s="30">
        <v>5838</v>
      </c>
      <c r="I80" s="5">
        <f t="shared" si="4"/>
        <v>0</v>
      </c>
      <c r="J80" s="51"/>
    </row>
    <row r="81" spans="1:10" hidden="1" x14ac:dyDescent="0.4">
      <c r="A81" s="4" t="s">
        <v>161</v>
      </c>
      <c r="B81" s="3"/>
      <c r="C81" s="25">
        <v>18</v>
      </c>
      <c r="D81" s="26">
        <v>10280202</v>
      </c>
      <c r="E81" s="4" t="s">
        <v>157</v>
      </c>
      <c r="F81" s="25"/>
      <c r="G81" s="19"/>
      <c r="H81" s="30">
        <v>5838</v>
      </c>
      <c r="I81" s="5">
        <f t="shared" si="4"/>
        <v>0</v>
      </c>
      <c r="J81" s="51"/>
    </row>
    <row r="82" spans="1:10" hidden="1" x14ac:dyDescent="0.4">
      <c r="A82" s="4" t="s">
        <v>162</v>
      </c>
      <c r="B82" s="3"/>
      <c r="C82" s="25">
        <v>18</v>
      </c>
      <c r="D82" s="26">
        <v>10280193</v>
      </c>
      <c r="E82" s="4" t="s">
        <v>158</v>
      </c>
      <c r="F82" s="25"/>
      <c r="G82" s="19"/>
      <c r="H82" s="30">
        <v>5838</v>
      </c>
      <c r="I82" s="5">
        <f t="shared" si="4"/>
        <v>0</v>
      </c>
    </row>
    <row r="83" spans="1:10" hidden="1" x14ac:dyDescent="0.4">
      <c r="A83" s="4" t="s">
        <v>163</v>
      </c>
      <c r="B83" s="3"/>
      <c r="C83" s="25">
        <v>18</v>
      </c>
      <c r="D83" s="26">
        <v>10280211</v>
      </c>
      <c r="E83" s="4" t="s">
        <v>159</v>
      </c>
      <c r="F83" s="25"/>
      <c r="G83" s="19"/>
      <c r="H83" s="30">
        <v>5838</v>
      </c>
      <c r="I83" s="5">
        <f t="shared" si="4"/>
        <v>0</v>
      </c>
    </row>
    <row r="84" spans="1:10" hidden="1" x14ac:dyDescent="0.4">
      <c r="A84" s="4" t="s">
        <v>165</v>
      </c>
      <c r="B84" s="43" t="s">
        <v>210</v>
      </c>
      <c r="C84" s="27">
        <v>6</v>
      </c>
      <c r="D84" s="27">
        <v>60019831</v>
      </c>
      <c r="E84" s="4" t="s">
        <v>164</v>
      </c>
      <c r="F84" s="27"/>
      <c r="G84" s="19"/>
      <c r="H84" s="30">
        <v>3931.71</v>
      </c>
      <c r="I84" s="5">
        <f t="shared" si="4"/>
        <v>0</v>
      </c>
    </row>
    <row r="85" spans="1:10" hidden="1" x14ac:dyDescent="0.4">
      <c r="A85" s="4" t="s">
        <v>185</v>
      </c>
      <c r="B85" s="3" t="s">
        <v>180</v>
      </c>
      <c r="C85" s="32">
        <v>18</v>
      </c>
      <c r="D85" s="26">
        <v>10254076</v>
      </c>
      <c r="E85" s="4" t="s">
        <v>178</v>
      </c>
      <c r="F85" s="32"/>
      <c r="G85" s="19"/>
      <c r="H85" s="5">
        <v>5838</v>
      </c>
      <c r="I85" s="5">
        <f t="shared" si="4"/>
        <v>0</v>
      </c>
    </row>
    <row r="86" spans="1:10" hidden="1" x14ac:dyDescent="0.4">
      <c r="A86" s="4" t="s">
        <v>186</v>
      </c>
      <c r="B86" s="3" t="s">
        <v>180</v>
      </c>
      <c r="C86" s="32">
        <v>18</v>
      </c>
      <c r="D86" s="26">
        <v>10254056</v>
      </c>
      <c r="E86" s="4" t="s">
        <v>179</v>
      </c>
      <c r="F86" s="32"/>
      <c r="G86" s="19"/>
      <c r="H86" s="5">
        <v>5838</v>
      </c>
      <c r="I86" s="5">
        <f t="shared" si="4"/>
        <v>0</v>
      </c>
    </row>
    <row r="87" spans="1:10" hidden="1" x14ac:dyDescent="0.4">
      <c r="A87" s="4" t="s">
        <v>181</v>
      </c>
      <c r="B87" s="3"/>
      <c r="C87" s="33">
        <v>18</v>
      </c>
      <c r="D87" s="33">
        <v>10280142</v>
      </c>
      <c r="E87" s="4" t="s">
        <v>182</v>
      </c>
      <c r="F87" s="33"/>
      <c r="G87" s="19"/>
      <c r="H87" s="5">
        <v>2370.94</v>
      </c>
      <c r="I87" s="5">
        <f t="shared" si="4"/>
        <v>0</v>
      </c>
    </row>
    <row r="88" spans="1:10" hidden="1" x14ac:dyDescent="0.4">
      <c r="A88" s="4" t="s">
        <v>187</v>
      </c>
      <c r="B88" s="3"/>
      <c r="C88" s="37">
        <v>12</v>
      </c>
      <c r="D88" s="26">
        <v>10402207</v>
      </c>
      <c r="E88" s="4" t="s">
        <v>188</v>
      </c>
      <c r="F88" s="37">
        <f>G88*C88</f>
        <v>0</v>
      </c>
      <c r="G88" s="19"/>
      <c r="H88" s="30">
        <v>4765.71</v>
      </c>
      <c r="I88" s="5">
        <f t="shared" si="4"/>
        <v>0</v>
      </c>
    </row>
    <row r="89" spans="1:10" hidden="1" x14ac:dyDescent="0.4">
      <c r="A89" s="4" t="s">
        <v>189</v>
      </c>
      <c r="B89" s="3"/>
      <c r="C89" s="37">
        <v>12</v>
      </c>
      <c r="D89" s="26">
        <v>10402210</v>
      </c>
      <c r="E89" s="4" t="s">
        <v>190</v>
      </c>
      <c r="F89" s="37">
        <f>G89*C89</f>
        <v>0</v>
      </c>
      <c r="G89" s="19"/>
      <c r="H89" s="30">
        <v>4765.71</v>
      </c>
      <c r="I89" s="5">
        <f t="shared" si="4"/>
        <v>0</v>
      </c>
    </row>
    <row r="90" spans="1:10" hidden="1" x14ac:dyDescent="0.4">
      <c r="A90" s="4" t="s">
        <v>191</v>
      </c>
      <c r="B90" s="3"/>
      <c r="C90" s="37">
        <v>12</v>
      </c>
      <c r="D90" s="26">
        <v>10402373</v>
      </c>
      <c r="E90" s="4" t="s">
        <v>192</v>
      </c>
      <c r="F90" s="37">
        <f>G90*C90</f>
        <v>0</v>
      </c>
      <c r="G90" s="19"/>
      <c r="H90" s="30">
        <v>4765.71</v>
      </c>
      <c r="I90" s="5">
        <f t="shared" si="4"/>
        <v>0</v>
      </c>
    </row>
    <row r="91" spans="1:10" hidden="1" x14ac:dyDescent="0.4">
      <c r="A91" s="4" t="s">
        <v>193</v>
      </c>
      <c r="B91" s="3"/>
      <c r="C91" s="37">
        <v>12</v>
      </c>
      <c r="D91" s="26">
        <v>60014717</v>
      </c>
      <c r="E91" s="4" t="s">
        <v>194</v>
      </c>
      <c r="F91" s="37">
        <f>G91*C91</f>
        <v>0</v>
      </c>
      <c r="G91" s="19"/>
      <c r="H91" s="30">
        <v>4765.71</v>
      </c>
      <c r="I91" s="5">
        <f t="shared" si="4"/>
        <v>0</v>
      </c>
    </row>
    <row r="92" spans="1:10" hidden="1" x14ac:dyDescent="0.4">
      <c r="A92" s="4" t="s">
        <v>195</v>
      </c>
      <c r="B92" s="3" t="s">
        <v>224</v>
      </c>
      <c r="C92" s="38">
        <v>6</v>
      </c>
      <c r="D92" s="26">
        <v>60019575</v>
      </c>
      <c r="E92" s="4" t="s">
        <v>196</v>
      </c>
      <c r="F92" s="38">
        <f t="shared" ref="F92:F95" si="5">C92*G92</f>
        <v>0</v>
      </c>
      <c r="G92" s="19"/>
      <c r="H92" s="30">
        <v>5838</v>
      </c>
      <c r="I92" s="5">
        <f t="shared" si="4"/>
        <v>0</v>
      </c>
    </row>
    <row r="93" spans="1:10" hidden="1" x14ac:dyDescent="0.4">
      <c r="A93" s="4" t="s">
        <v>198</v>
      </c>
      <c r="B93" s="3"/>
      <c r="C93" s="26">
        <v>3</v>
      </c>
      <c r="D93" s="26">
        <v>60019236</v>
      </c>
      <c r="E93" s="4" t="s">
        <v>199</v>
      </c>
      <c r="F93" s="39">
        <f t="shared" si="5"/>
        <v>0</v>
      </c>
      <c r="G93" s="19"/>
      <c r="H93" s="30">
        <v>3931.71</v>
      </c>
      <c r="I93" s="5">
        <f>IFERROR(G93*H93,0)</f>
        <v>0</v>
      </c>
    </row>
    <row r="94" spans="1:10" hidden="1" x14ac:dyDescent="0.4">
      <c r="A94" s="4" t="s">
        <v>200</v>
      </c>
      <c r="B94" s="3"/>
      <c r="C94" s="26">
        <v>3</v>
      </c>
      <c r="D94" s="26">
        <v>60019232</v>
      </c>
      <c r="E94" s="4" t="s">
        <v>201</v>
      </c>
      <c r="F94" s="39">
        <f t="shared" si="5"/>
        <v>0</v>
      </c>
      <c r="G94" s="19"/>
      <c r="H94" s="30">
        <v>3931.71</v>
      </c>
      <c r="I94" s="5">
        <f>IFERROR(G94*H94,0)</f>
        <v>0</v>
      </c>
    </row>
    <row r="95" spans="1:10" hidden="1" x14ac:dyDescent="0.4">
      <c r="A95" s="4" t="s">
        <v>215</v>
      </c>
      <c r="B95" s="3"/>
      <c r="C95" s="26">
        <v>6</v>
      </c>
      <c r="D95" s="26">
        <v>60017761</v>
      </c>
      <c r="E95" s="4" t="s">
        <v>216</v>
      </c>
      <c r="F95" s="47">
        <f t="shared" si="5"/>
        <v>0</v>
      </c>
      <c r="G95" s="19"/>
      <c r="H95" s="30">
        <v>3931.71</v>
      </c>
      <c r="I95" s="5">
        <f>IFERROR(G95*H95,0)</f>
        <v>0</v>
      </c>
    </row>
  </sheetData>
  <autoFilter ref="A11:K95" xr:uid="{7D700EAE-992C-4692-BBEF-522A56A2EEE4}">
    <filterColumn colId="6">
      <customFilters>
        <customFilter operator="notEqual" val=" "/>
      </customFilters>
    </filterColumn>
  </autoFilter>
  <mergeCells count="16">
    <mergeCell ref="D1:I1"/>
    <mergeCell ref="D2:I2"/>
    <mergeCell ref="H4:I4"/>
    <mergeCell ref="H5:I5"/>
    <mergeCell ref="H6:I6"/>
    <mergeCell ref="F3:G3"/>
    <mergeCell ref="F4:G4"/>
    <mergeCell ref="F5:G5"/>
    <mergeCell ref="F6:G6"/>
    <mergeCell ref="H3:I3"/>
    <mergeCell ref="H7:I7"/>
    <mergeCell ref="E9:F9"/>
    <mergeCell ref="E10:F10"/>
    <mergeCell ref="F7:G7"/>
    <mergeCell ref="F8:G8"/>
    <mergeCell ref="H8:I8"/>
  </mergeCells>
  <phoneticPr fontId="2" type="noConversion"/>
  <conditionalFormatting sqref="D96:D1048576 D1:D11 D68:D69 D13 D71:D86 D35 D37:D38 D40:D62 D16:D17 D20:D32">
    <cfRule type="duplicateValues" dxfId="42" priority="52"/>
  </conditionalFormatting>
  <conditionalFormatting sqref="E87">
    <cfRule type="duplicateValues" dxfId="41" priority="51"/>
  </conditionalFormatting>
  <conditionalFormatting sqref="D87">
    <cfRule type="duplicateValues" dxfId="40" priority="50"/>
  </conditionalFormatting>
  <conditionalFormatting sqref="D88:D91">
    <cfRule type="duplicateValues" dxfId="39" priority="49"/>
  </conditionalFormatting>
  <conditionalFormatting sqref="D88:D91">
    <cfRule type="duplicateValues" dxfId="38" priority="48"/>
  </conditionalFormatting>
  <conditionalFormatting sqref="D92">
    <cfRule type="duplicateValues" dxfId="37" priority="47"/>
  </conditionalFormatting>
  <conditionalFormatting sqref="D92">
    <cfRule type="duplicateValues" dxfId="36" priority="46"/>
  </conditionalFormatting>
  <conditionalFormatting sqref="C93:C94">
    <cfRule type="duplicateValues" dxfId="35" priority="45"/>
  </conditionalFormatting>
  <conditionalFormatting sqref="C93:C94">
    <cfRule type="duplicateValues" dxfId="34" priority="44"/>
  </conditionalFormatting>
  <conditionalFormatting sqref="D93:D94">
    <cfRule type="duplicateValues" dxfId="33" priority="43"/>
  </conditionalFormatting>
  <conditionalFormatting sqref="D93:D94">
    <cfRule type="duplicateValues" dxfId="32" priority="42"/>
  </conditionalFormatting>
  <conditionalFormatting sqref="B12">
    <cfRule type="duplicateValues" dxfId="31" priority="41"/>
  </conditionalFormatting>
  <conditionalFormatting sqref="D12">
    <cfRule type="duplicateValues" dxfId="30" priority="40"/>
  </conditionalFormatting>
  <conditionalFormatting sqref="B70">
    <cfRule type="duplicateValues" dxfId="29" priority="39"/>
  </conditionalFormatting>
  <conditionalFormatting sqref="D70">
    <cfRule type="duplicateValues" dxfId="28" priority="38"/>
  </conditionalFormatting>
  <conditionalFormatting sqref="B84">
    <cfRule type="duplicateValues" dxfId="27" priority="37"/>
  </conditionalFormatting>
  <conditionalFormatting sqref="D33:D34">
    <cfRule type="duplicateValues" dxfId="26" priority="36"/>
  </conditionalFormatting>
  <conditionalFormatting sqref="D33:D34">
    <cfRule type="duplicateValues" dxfId="25" priority="35"/>
  </conditionalFormatting>
  <conditionalFormatting sqref="D36">
    <cfRule type="duplicateValues" dxfId="24" priority="34"/>
  </conditionalFormatting>
  <conditionalFormatting sqref="D36">
    <cfRule type="duplicateValues" dxfId="23" priority="33"/>
  </conditionalFormatting>
  <conditionalFormatting sqref="D39">
    <cfRule type="duplicateValues" dxfId="22" priority="32"/>
  </conditionalFormatting>
  <conditionalFormatting sqref="D39">
    <cfRule type="duplicateValues" dxfId="21" priority="31"/>
  </conditionalFormatting>
  <conditionalFormatting sqref="D96:D1048576 D1:D13 D16:D17 D20:D94">
    <cfRule type="duplicateValues" dxfId="20" priority="30"/>
  </conditionalFormatting>
  <conditionalFormatting sqref="A96:A1048576 A1:A13 A16:A17 A20:A94">
    <cfRule type="duplicateValues" dxfId="19" priority="29"/>
  </conditionalFormatting>
  <conditionalFormatting sqref="C95">
    <cfRule type="duplicateValues" dxfId="18" priority="28"/>
  </conditionalFormatting>
  <conditionalFormatting sqref="C95">
    <cfRule type="duplicateValues" dxfId="17" priority="27"/>
  </conditionalFormatting>
  <conditionalFormatting sqref="D95">
    <cfRule type="duplicateValues" dxfId="16" priority="26"/>
  </conditionalFormatting>
  <conditionalFormatting sqref="D95">
    <cfRule type="duplicateValues" dxfId="15" priority="25"/>
  </conditionalFormatting>
  <conditionalFormatting sqref="A95">
    <cfRule type="duplicateValues" dxfId="14" priority="24"/>
  </conditionalFormatting>
  <conditionalFormatting sqref="D20:D1048576 D1:D13 D16:D17">
    <cfRule type="duplicateValues" dxfId="13" priority="23"/>
  </conditionalFormatting>
  <conditionalFormatting sqref="A14:A15">
    <cfRule type="duplicateValues" dxfId="12" priority="18"/>
  </conditionalFormatting>
  <conditionalFormatting sqref="D18">
    <cfRule type="duplicateValues" dxfId="11" priority="12"/>
  </conditionalFormatting>
  <conditionalFormatting sqref="D18">
    <cfRule type="duplicateValues" dxfId="10" priority="11"/>
  </conditionalFormatting>
  <conditionalFormatting sqref="A18">
    <cfRule type="duplicateValues" dxfId="9" priority="10"/>
  </conditionalFormatting>
  <conditionalFormatting sqref="D18">
    <cfRule type="duplicateValues" dxfId="8" priority="9"/>
  </conditionalFormatting>
  <conditionalFormatting sqref="D15">
    <cfRule type="duplicateValues" dxfId="7" priority="8"/>
  </conditionalFormatting>
  <conditionalFormatting sqref="D14">
    <cfRule type="duplicateValues" dxfId="6" priority="7"/>
  </conditionalFormatting>
  <conditionalFormatting sqref="D14:D15">
    <cfRule type="duplicateValues" dxfId="5" priority="6"/>
  </conditionalFormatting>
  <conditionalFormatting sqref="D14:D15">
    <cfRule type="duplicateValues" dxfId="4" priority="5"/>
  </conditionalFormatting>
  <conditionalFormatting sqref="D19">
    <cfRule type="duplicateValues" dxfId="3" priority="4"/>
  </conditionalFormatting>
  <conditionalFormatting sqref="D19">
    <cfRule type="duplicateValues" dxfId="2" priority="3"/>
  </conditionalFormatting>
  <conditionalFormatting sqref="A19">
    <cfRule type="duplicateValues" dxfId="1" priority="2"/>
  </conditionalFormatting>
  <conditionalFormatting sqref="D19">
    <cfRule type="duplicateValues" dxfId="0" priority="1"/>
  </conditionalFormatting>
  <pageMargins left="0.25" right="0.25" top="0.75" bottom="0.75" header="0.3" footer="0.3"/>
  <pageSetup paperSize="9" scale="67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2" sqref="A2"/>
    </sheetView>
  </sheetViews>
  <sheetFormatPr defaultRowHeight="17" x14ac:dyDescent="0.4"/>
  <cols>
    <col min="1" max="1" width="10.453125" bestFit="1" customWidth="1"/>
  </cols>
  <sheetData>
    <row r="1" spans="1:1" x14ac:dyDescent="0.4">
      <c r="A1" t="s">
        <v>20</v>
      </c>
    </row>
    <row r="2" spans="1:1" x14ac:dyDescent="0.4">
      <c r="A2" t="s">
        <v>21</v>
      </c>
    </row>
    <row r="3" spans="1:1" x14ac:dyDescent="0.4">
      <c r="A3" t="s">
        <v>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採購總表 </vt:lpstr>
      <vt:lpstr>清單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Charles.Hsu(許信超)</dc:creator>
  <cp:lastModifiedBy>Shanin.Sun(孫雅慈)</cp:lastModifiedBy>
  <cp:lastPrinted>2023-08-19T02:10:40Z</cp:lastPrinted>
  <dcterms:created xsi:type="dcterms:W3CDTF">2023-07-24T07:18:36Z</dcterms:created>
  <dcterms:modified xsi:type="dcterms:W3CDTF">2026-08-28T06:25:55Z</dcterms:modified>
</cp:coreProperties>
</file>